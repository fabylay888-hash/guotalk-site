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3ec6b4548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t plan" sheetId="1" r:id="R37f2e1abc5d54578"/>
    <x:sheet xmlns:r="http://schemas.openxmlformats.org/officeDocument/2006/relationships" name="Credits" sheetId="2" r:id="Ra0dd674066134441"/>
    <x:sheet xmlns:r="http://schemas.openxmlformats.org/officeDocument/2006/relationships" name="License guide" sheetId="3" r:id="Rfb49b763b305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172235"/>
      <x:name val="Arial"/>
    </x:font>
    <x:font>
      <x:i/>
      <x:sz val="10"/>
      <x:color rgb="FF5A6573"/>
      <x:name val="Arial"/>
    </x:font>
    <x:font>
      <x:b/>
      <x:sz val="10"/>
      <x:color rgb="FF172235"/>
      <x:name val="Arial"/>
    </x:font>
    <x:font>
      <x:b/>
      <x:sz val="14"/>
      <x:color rgb="FF172235"/>
      <x:name val="Arial"/>
    </x:font>
    <x:font>
      <x:i/>
      <x:sz val="9"/>
      <x:color rgb="FF29466B"/>
      <x:name val="Arial"/>
    </x:font>
    <x:font>
      <x:sz val="9"/>
      <x:color rgb="FF20252B"/>
      <x:name val="Arial"/>
    </x:font>
    <x:font>
      <x:b/>
      <x:sz val="9"/>
      <x:color rgb="FFFFFFFF"/>
      <x:name val="Arial"/>
    </x:font>
    <x:font>
      <x:u val="single"/>
      <x:sz val="8"/>
      <x:color rgb="FF1F5CA9"/>
      <x:name val="Arial"/>
    </x:font>
    <x:font>
      <x:b/>
      <x:sz val="10"/>
      <x:color rgb="FFFFFFFF"/>
      <x:name val="Arial"/>
    </x:font>
    <x:font>
      <x:sz val="10"/>
      <x:color rgb="FF20252B"/>
      <x:name val="Arial"/>
    </x:font>
    <x:font>
      <x:u val="single"/>
      <x:sz val="9"/>
      <x:color rgb="FF1F5CA9"/>
      <x:name val="Arial"/>
    </x:font>
    <x:font>
      <x:b/>
      <x:sz val="9"/>
      <x:color rgb="FF1722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6F1E7"/>
      </x:patternFill>
    </x:fill>
    <x:fill>
      <x:patternFill patternType="solid">
        <x:fgColor rgb="FFE8F0FE"/>
      </x:patternFill>
    </x:fill>
    <x:fill>
      <x:patternFill patternType="solid">
        <x:fgColor rgb="FF17223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6922B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17633A"/>
      </x:font>
      <x:fill>
        <x:patternFill patternType="solid">
          <x:bgColor rgb="FFE7F4EA"/>
        </x:patternFill>
      </x:fill>
    </x:dxf>
    <x:dxf>
      <x:font>
        <x:b/>
        <x:color rgb="FF244A7C"/>
      </x:font>
      <x:fill>
        <x:patternFill patternType="solid">
          <x:bgColor rgb="FFE8F0FE"/>
        </x:patternFill>
      </x:fill>
    </x:dxf>
    <x:dxf>
      <x:font>
        <x:b/>
        <x:color rgb="FF7A5513"/>
      </x:font>
      <x:fill>
        <x:patternFill patternType="solid">
          <x:bgColor rgb="FFFFF2CC"/>
        </x:patternFill>
      </x:fill>
    </x:dxf>
    <x:dxf>
      <x:font>
        <x:b/>
        <x:color rgb="FF9E2A2B"/>
      </x:font>
      <x:fill>
        <x:patternFill patternType="solid">
          <x:bgColor rgb="FFFCE8E6"/>
        </x:patternFill>
      </x:fill>
    </x:dxf>
    <x:dxf>
      <x:font>
        <x:b/>
        <x:color rgb="FF67470C"/>
      </x:font>
      <x:fill>
        <x:patternFill patternType="solid">
          <x:bgColor rgb="FFF5E4B7"/>
        </x:patternFill>
      </x:fill>
    </x:dxf>
    <x:dxf>
      <x:font>
        <x:b/>
        <x:color rgb="FF17633A"/>
      </x:font>
      <x:fill>
        <x:patternFill patternType="solid">
          <x:bgColor rgb="FFE7F4EA"/>
        </x:patternFill>
      </x:fill>
    </x:dxf>
    <x:dxf>
      <x:font>
        <x:b/>
        <x:color rgb="FF7A5513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e3b84208644c5" /><Relationship Type="http://schemas.openxmlformats.org/officeDocument/2006/relationships/theme" Target="/xl/theme/theme1.xml" Id="Rfda824bc961f4daa" /><Relationship Type="http://schemas.openxmlformats.org/officeDocument/2006/relationships/sharedStrings" Target="/xl/sharedStrings.xml" Id="Ree12260bdc084a52" /><Relationship Type="http://schemas.openxmlformats.org/officeDocument/2006/relationships/worksheet" Target="/xl/worksheets/sheet1.xml" Id="R37f2e1abc5d54578" /><Relationship Type="http://schemas.openxmlformats.org/officeDocument/2006/relationships/worksheet" Target="/xl/worksheets/sheet2.xml" Id="Ra0dd674066134441" /><Relationship Type="http://schemas.openxmlformats.org/officeDocument/2006/relationships/worksheet" Target="/xl/worksheets/sheet3.xml" Id="Rfb49b763b3054546" /></Relationships>
</file>

<file path=xl/tables/table1.xml><?xml version="1.0" encoding="utf-8"?>
<x:table xmlns:x="http://schemas.openxmlformats.org/spreadsheetml/2006/main" id="1" name="ShotPlanTable" displayName="ShotPlanTable" ref="A10:Q44" headerRowCount="1" totalsRowCount="0" totalsRowShown="0">
  <x:tableColumns count="17">
    <x:tableColumn id="1" name="#"/>
    <x:tableColumn id="2" name="Chapter"/>
    <x:tableColumn id="3" name="Timecode"/>
    <x:tableColumn id="4" name="Priority"/>
    <x:tableColumn id="5" name="Shot ID"/>
    <x:tableColumn id="6" name="Production status"/>
    <x:tableColumn id="7" name="Editorial fit"/>
    <x:tableColumn id="8" name="Requested visual"/>
    <x:tableColumn id="9" name="Best recommended asset"/>
    <x:tableColumn id="10" name="Source"/>
    <x:tableColumn id="11" name="Media"/>
    <x:tableColumn id="12" name="Source page"/>
    <x:tableColumn id="13" name="Download"/>
    <x:tableColumn id="14" name="License"/>
    <x:tableColumn id="15" name="Credit / attribution"/>
    <x:tableColumn id="16" name="Caveat and edit note"/>
    <x:tableColumn id="17" name="Backup / sear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editsTable" displayName="CreditsTable" ref="A5:F11" headerRowCount="1" totalsRowCount="0" totalsRowShown="0">
  <x:tableColumns count="6">
    <x:tableColumn id="1" name="Shot ID"/>
    <x:tableColumn id="2" name="Asset"/>
    <x:tableColumn id="3" name="Credit line"/>
    <x:tableColumn id="4" name="License link"/>
    <x:tableColumn id="5" name="Source page"/>
    <x:tableColumn id="6" name="Produc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censeGuideTable" displayName="LicenseGuideTable" ref="A10:H18" headerRowCount="1" totalsRowCount="0" totalsRowShown="0">
  <x:tableColumns count="8">
    <x:tableColumn id="1" name="Source / license"/>
    <x:tableColumn id="2" name="Copyright position"/>
    <x:tableColumn id="3" name="Commercial YouTube"/>
    <x:tableColumn id="4" name="Attribution"/>
    <x:tableColumn id="5" name="Main restrictions and risk"/>
    <x:tableColumn id="6" name="Official terms"/>
    <x:tableColumn id="7" name="Recommendation"/>
    <x:tableColumn id="8" name="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b80d02d26646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761810a7104d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081900dbd9460c" /></Relationships>
</file>

<file path=xl/worksheets/sheet1.xml><?xml version="1.0" encoding="utf-8"?>
<x:worksheet xmlns:x="http://schemas.openxmlformats.org/spreadsheetml/2006/main">
  <x:sheetPr>
    <x:tabColor rgb="FF172235"/>
  </x:sheetPr>
  <x:sheetViews>
    <x:sheetView showGridLines="0" workbookViewId="0">
      <x:pane xSplit="5" ySplit="10" topLeftCell="F11" activePane="bottomRight" state="frozen"/>
    </x:sheetView>
  </x:sheetViews>
  <x:sheetFormatPr defaultRowHeight="15"/>
  <x:cols>
    <x:col min="1" max="1" width="5" hidden="0" customWidth="1"/>
    <x:col min="2" max="2" width="14" hidden="0" customWidth="1"/>
    <x:col min="3" max="3" width="17" hidden="0" customWidth="1"/>
    <x:col min="4" max="4" width="8" hidden="0" customWidth="1"/>
    <x:col min="5" max="5" width="22" hidden="0" customWidth="1"/>
    <x:col min="6" max="6" width="19" hidden="0" customWidth="1"/>
    <x:col min="7" max="7" width="12" hidden="0" customWidth="1"/>
    <x:col min="8" max="8" width="34" hidden="0" customWidth="1"/>
    <x:col min="9" max="9" width="34" hidden="0" customWidth="1"/>
    <x:col min="10" max="10" width="18" hidden="0" customWidth="1"/>
    <x:col min="11" max="11" width="10" hidden="0" customWidth="1"/>
    <x:col min="12" max="12" width="34" hidden="0" customWidth="1"/>
    <x:col min="13" max="13" width="34" hidden="0" customWidth="1"/>
    <x:col min="14" max="14" width="20" hidden="0" customWidth="1"/>
    <x:col min="15" max="15" width="43" hidden="0" customWidth="1"/>
    <x:col min="16" max="16" width="58" hidden="0" customWidth="1"/>
    <x:col min="17" max="17" width="34" hidden="0" customWidth="1"/>
  </x:cols>
  <x:sheetData>
    <x:row r="2">
      <x:c r="A2" s="37" t="str">
        <x:v>Durian documentary footage sourcebook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3">
      <x:c r="A3" s="39" t="str">
        <x:v>34-shot sourcing plan · license and availability checked 2026-10-02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</x:row>
    <x:row r="5">
      <x:c r="A5" s="7" t="str">
        <x:v>Total shots</x:v>
      </x:c>
      <x:c r="B5" s="7" t="str"/>
      <x:c r="C5" s="7" t="str">
        <x:v>Ready</x:v>
      </x:c>
      <x:c r="D5" s="7" t="str"/>
      <x:c r="E5" s="7" t="str">
        <x:v>Illustrative</x:v>
      </x:c>
      <x:c r="F5" s="7" t="str"/>
      <x:c r="G5" s="7" t="str">
        <x:v>Source / shoot</x:v>
      </x:c>
      <x:c r="H5" s="7" t="str"/>
      <x:c r="I5" s="7" t="str">
        <x:v>Priority A gaps</x:v>
      </x:c>
      <x:c r="J5" s="7" t="str"/>
      <x:c r="K5" s="40"/>
      <x:c r="L5" s="40"/>
      <x:c r="M5" s="40"/>
      <x:c r="N5" s="40"/>
      <x:c r="O5" s="40"/>
      <x:c r="P5" s="40"/>
      <x:c r="Q5" s="40"/>
    </x:row>
    <x:row r="6">
      <x:c r="A6" s="10" t="n">
        <x:f>COUNTA($E$11:$E$44)</x:f>
        <x:v>34</x:v>
      </x:c>
      <x:c r="B6" s="40"/>
      <x:c r="C6" s="10" t="n">
        <x:f>COUNTIF($F$11:$F$44,"READY")+COUNTIF($F$11:$F$44,"READY + CREDIT")</x:f>
        <x:v>23</x:v>
      </x:c>
      <x:c r="D6" s="40"/>
      <x:c r="E6" s="10" t="n">
        <x:f>COUNTIF($F$11:$F$44,"ILLUSTRATIVE")</x:f>
        <x:v>8</x:v>
      </x:c>
      <x:c r="F6" s="40"/>
      <x:c r="G6" s="10" t="n">
        <x:f>COUNTIF($F$11:$F$44,"SOURCE / SHOOT")</x:f>
        <x:v>3</x:v>
      </x:c>
      <x:c r="H6" s="40"/>
      <x:c r="I6" s="10" t="n">
        <x:f>COUNTIFS($D$11:$D$44,"A",$F$11:$F$44,"SOURCE / SHOOT")</x:f>
        <x:v>3</x:v>
      </x:c>
      <x:c r="J6" s="40"/>
      <x:c r="K6" s="40"/>
      <x:c r="L6" s="40"/>
      <x:c r="M6" s="40"/>
      <x:c r="N6" s="40"/>
      <x:c r="O6" s="40"/>
      <x:c r="P6" s="40"/>
      <x:c r="Q6" s="40"/>
    </x:row>
    <x:row r="7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</x:row>
    <x:row r="8" ht="20" customHeight="1">
      <x:c r="A8" s="41" t="str">
        <x:v>Status key: READY = use as sourced · READY + CREDIT = use with supplied attribution · ILLUSTRATIVE = accurate theme but not exact crop/place · SOURCE / SHOOT = do not treat the placeholder as final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  <x:c r="L8" s="41" t="str"/>
      <x:c r="M8" s="41" t="str"/>
      <x:c r="N8" s="41" t="str"/>
      <x:c r="O8" s="41" t="str"/>
      <x:c r="P8" s="41" t="str"/>
      <x:c r="Q8" s="41" t="str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</x:row>
    <x:row r="10" ht="36" customHeight="1">
      <x:c r="A10" s="19" t="str">
        <x:v>#</x:v>
      </x:c>
      <x:c r="B10" s="19" t="str">
        <x:v>Chapter</x:v>
      </x:c>
      <x:c r="C10" s="19" t="str">
        <x:v>Timecode</x:v>
      </x:c>
      <x:c r="D10" s="19" t="str">
        <x:v>Priority</x:v>
      </x:c>
      <x:c r="E10" s="19" t="str">
        <x:v>Shot ID</x:v>
      </x:c>
      <x:c r="F10" s="19" t="str">
        <x:v>Production status</x:v>
      </x:c>
      <x:c r="G10" s="19" t="str">
        <x:v>Editorial fit</x:v>
      </x:c>
      <x:c r="H10" s="19" t="str">
        <x:v>Requested visual</x:v>
      </x:c>
      <x:c r="I10" s="19" t="str">
        <x:v>Best recommended asset</x:v>
      </x:c>
      <x:c r="J10" s="19" t="str">
        <x:v>Source</x:v>
      </x:c>
      <x:c r="K10" s="19" t="str">
        <x:v>Media</x:v>
      </x:c>
      <x:c r="L10" s="19" t="str">
        <x:v>Source page</x:v>
      </x:c>
      <x:c r="M10" s="19" t="str">
        <x:v>Download</x:v>
      </x:c>
      <x:c r="N10" s="19" t="str">
        <x:v>License</x:v>
      </x:c>
      <x:c r="O10" s="19" t="str">
        <x:v>Credit / attribution</x:v>
      </x:c>
      <x:c r="P10" s="19" t="str">
        <x:v>Caveat and edit note</x:v>
      </x:c>
      <x:c r="Q10" s="19" t="str">
        <x:v>Backup / search</x:v>
      </x:c>
    </x:row>
    <x:row r="11" ht="58" customHeight="1">
      <x:c r="A11" s="23" t="n">
        <x:v>1</x:v>
      </x:c>
      <x:c r="B11" s="20" t="str">
        <x:v>Cold open</x:v>
      </x:c>
      <x:c r="C11" s="23" t="str">
        <x:v>0:00</x:v>
      </x:c>
      <x:c r="D11" s="23" t="str">
        <x:v>A</x:v>
      </x:c>
      <x:c r="E11" s="23" t="str">
        <x:v>highlands-dawn</x:v>
      </x:c>
      <x:c r="F11" s="23" t="str">
        <x:v>ILLUSTRATIVE</x:v>
      </x:c>
      <x:c r="G11" s="23" t="str">
        <x:v>Close</x:v>
      </x:c>
      <x:c r="H11" s="22" t="str">
        <x:v>Misty dawn over Vietnam’s Central Highlands farmland, ideally aerial</x:v>
      </x:c>
      <x:c r="I11" s="22" t="str">
        <x:v>Vietnam / Da Lat aerial landscape</x:v>
      </x:c>
      <x:c r="J11" s="22" t="str">
        <x:v>Pixabay</x:v>
      </x:c>
      <x:c r="K11" s="22" t="str">
        <x:v>Video</x:v>
      </x:c>
      <x:c r="L11" s="24" t="str">
        <x:v>https://pixabay.com/videos/vietnam-drones-da-lat-268023/</x:v>
      </x:c>
      <x:c r="M11" s="24" t="str">
        <x:v>https://pixabay.com/videos/vietnam-drones-da-lat-268023/</x:v>
      </x:c>
      <x:c r="N11" s="22" t="str">
        <x:v>Pixabay Content License</x:v>
      </x:c>
      <x:c r="O11" s="22" t="str">
        <x:v>No attribution required</x:v>
      </x:c>
      <x:c r="P11" s="22" t="str">
        <x:v>4K 16:9 and geographically credible for Vietnam. It is not Lan’s farm and may not show dawn; grade cool and do not identify the property.</x:v>
      </x:c>
      <x:c r="Q11" s="24" t="str">
        <x:v>https://www.pexels.com/video/aerial-view-of-lush-vietnamese-landscapes-28986126/</x:v>
      </x:c>
    </x:row>
    <x:row r="12" ht="58" customHeight="1">
      <x:c r="A12" s="23" t="n">
        <x:v>2</x:v>
      </x:c>
      <x:c r="B12" s="20" t="str">
        <x:v>Cold open</x:v>
      </x:c>
      <x:c r="C12" s="23" t="str">
        <x:v>0:04</x:v>
      </x:c>
      <x:c r="D12" s="23" t="str">
        <x:v>A</x:v>
      </x:c>
      <x:c r="E12" s="23" t="str">
        <x:v>coffee-cherries</x:v>
      </x:c>
      <x:c r="F12" s="23" t="str">
        <x:v>READY</x:v>
      </x:c>
      <x:c r="G12" s="23" t="str">
        <x:v>Exact</x:v>
      </x:c>
      <x:c r="H12" s="22" t="str">
        <x:v>Ripe red coffee cherries on branch or hands picking</x:v>
      </x:c>
      <x:c r="I12" s="22" t="str">
        <x:v>Farmer checking coffee cherries</x:v>
      </x:c>
      <x:c r="J12" s="22" t="str">
        <x:v>Pexels</x:v>
      </x:c>
      <x:c r="K12" s="22" t="str">
        <x:v>Video</x:v>
      </x:c>
      <x:c r="L12" s="24" t="str">
        <x:v>https://www.pexels.com/video/a-framer-checking-the-coffee-cherries-7116410/</x:v>
      </x:c>
      <x:c r="M12" s="24" t="str">
        <x:v>https://www.pexels.com/video/a-framer-checking-the-coffee-cherries-7116410/</x:v>
      </x:c>
      <x:c r="N12" s="22" t="str">
        <x:v>Pexels License</x:v>
      </x:c>
      <x:c r="O12" s="22" t="str">
        <x:v>No attribution required</x:v>
      </x:c>
      <x:c r="P12" s="22" t="str">
        <x:v>Strong tactile commodity close-up. Confirm no visible brand marks before export.</x:v>
      </x:c>
      <x:c r="Q12" s="24" t="str">
        <x:v>https://www.pexels.com/video/farmers-harvesting-coffee-beans-in-a-coffee-plantation-3365440/</x:v>
      </x:c>
    </x:row>
    <x:row r="13" ht="58" customHeight="1">
      <x:c r="A13" s="23" t="n">
        <x:v>3</x:v>
      </x:c>
      <x:c r="B13" s="20" t="str">
        <x:v>Cold open</x:v>
      </x:c>
      <x:c r="C13" s="23" t="str">
        <x:v>0:11 · 8:28 · 9:17</x:v>
      </x:c>
      <x:c r="D13" s="23" t="str">
        <x:v>A</x:v>
      </x:c>
      <x:c r="E13" s="23" t="str">
        <x:v>durian-orchard</x:v>
      </x:c>
      <x:c r="F13" s="23" t="str">
        <x:v>READY</x:v>
      </x:c>
      <x:c r="G13" s="23" t="str">
        <x:v>Exact</x:v>
      </x:c>
      <x:c r="H13" s="22" t="str">
        <x:v>Rows of durian trees with fruit hanging; reused three times</x:v>
      </x:c>
      <x:c r="I13" s="22" t="str">
        <x:v>Durian trees in a Vietnam garden</x:v>
      </x:c>
      <x:c r="J13" s="22" t="str">
        <x:v>Pixabay</x:v>
      </x:c>
      <x:c r="K13" s="22" t="str">
        <x:v>Video</x:v>
      </x:c>
      <x:c r="L13" s="24" t="str">
        <x:v>https://pixabay.com/videos/durian-vietnam-garden-tree-leaf-166216/</x:v>
      </x:c>
      <x:c r="M13" s="24" t="str">
        <x:v>https://pixabay.com/videos/durian-vietnam-garden-tree-leaf-166216/</x:v>
      </x:c>
      <x:c r="N13" s="22" t="str">
        <x:v>Pixabay Content License</x:v>
      </x:c>
      <x:c r="O13" s="22" t="str">
        <x:v>No attribution required</x:v>
      </x:c>
      <x:c r="P13" s="22" t="str">
        <x:v>Best free country-and-crop match. Cut different moments or reverse a shot to avoid obvious repetition.</x:v>
      </x:c>
      <x:c r="Q13" s="24" t="str">
        <x:v>https://www.pexels.com/search/videos/durian%20tree/</x:v>
      </x:c>
    </x:row>
    <x:row r="14" ht="58" customHeight="1">
      <x:c r="A14" s="23" t="n">
        <x:v>4</x:v>
      </x:c>
      <x:c r="B14" s="20" t="str">
        <x:v>Cold open</x:v>
      </x:c>
      <x:c r="C14" s="23" t="str">
        <x:v>0:53</x:v>
      </x:c>
      <x:c r="D14" s="23" t="str">
        <x:v>B</x:v>
      </x:c>
      <x:c r="E14" s="23" t="str">
        <x:v>saplings</x:v>
      </x:c>
      <x:c r="F14" s="23" t="str">
        <x:v>ILLUSTRATIVE</x:v>
      </x:c>
      <x:c r="G14" s="23" t="str">
        <x:v>Close</x:v>
      </x:c>
      <x:c r="H14" s="22" t="str">
        <x:v>Young trees in neat rows or hands planting a sapling</x:v>
      </x:c>
      <x:c r="I14" s="22" t="str">
        <x:v>Aerial view of a young banana plantation</x:v>
      </x:c>
      <x:c r="J14" s="22" t="str">
        <x:v>Pexels</x:v>
      </x:c>
      <x:c r="K14" s="22" t="str">
        <x:v>Video</x:v>
      </x:c>
      <x:c r="L14" s="24" t="str">
        <x:v>https://www.pexels.com/video/aerial-view-of-young-banana-plantation-35663989/</x:v>
      </x:c>
      <x:c r="M14" s="24" t="str">
        <x:v>https://www.pexels.com/video/aerial-view-of-young-banana-plantation-35663989/</x:v>
      </x:c>
      <x:c r="N14" s="22" t="str">
        <x:v>Pexels License</x:v>
      </x:c>
      <x:c r="O14" s="22" t="str">
        <x:v>No attribution required</x:v>
      </x:c>
      <x:c r="P14" s="22" t="str">
        <x:v>Shows tropical saplings and row geometry, not durian. Use only as a visual metaphor; do not label the crop.</x:v>
      </x:c>
      <x:c r="Q14" s="24" t="str">
        <x:v>https://www.pexels.com/video/time-lapse-of-seedlings-8522207/</x:v>
      </x:c>
    </x:row>
    <x:row r="15" ht="58" customHeight="1">
      <x:c r="A15" s="23" t="n">
        <x:v>5</x:v>
      </x:c>
      <x:c r="B15" s="20" t="str">
        <x:v>Cold open</x:v>
      </x:c>
      <x:c r="C15" s="23" t="str">
        <x:v>1:02 · 1:27 · 9:44</x:v>
      </x:c>
      <x:c r="D15" s="23" t="str">
        <x:v>A</x:v>
      </x:c>
      <x:c r="E15" s="23" t="str">
        <x:v>durian-slowmo</x:v>
      </x:c>
      <x:c r="F15" s="23" t="str">
        <x:v>SOURCE / SHOOT</x:v>
      </x:c>
      <x:c r="G15" s="23" t="str">
        <x:v>Placeholder</x:v>
      </x:c>
      <x:c r="H15" s="22" t="str">
        <x:v>Hero shot: durian split open and golden pods revealed</x:v>
      </x:c>
      <x:c r="I15" s="22" t="str">
        <x:v>Person cutting open a fresh durian</x:v>
      </x:c>
      <x:c r="J15" s="22" t="str">
        <x:v>Pexels</x:v>
      </x:c>
      <x:c r="K15" s="22" t="str">
        <x:v>Photo</x:v>
      </x:c>
      <x:c r="L15" s="24" t="str">
        <x:v>https://www.pexels.com/photo/person-cutting-open-fresh-durian-fruit-37224033/</x:v>
      </x:c>
      <x:c r="M15" s="24" t="str">
        <x:v>https://www.pexels.com/photo/person-cutting-open-fresh-durian-fruit-37224033/</x:v>
      </x:c>
      <x:c r="N15" s="22" t="str">
        <x:v>Pexels License</x:v>
      </x:c>
      <x:c r="O15" s="22" t="str">
        <x:v>No attribution required</x:v>
      </x:c>
      <x:c r="P15" s="22" t="str">
        <x:v>The free exact match is a still, not the slow-motion hero shot the film needs. Shoot this yourself or license a verified video; use the still only for an animatic.</x:v>
      </x:c>
      <x:c r="Q15" s="24" t="str">
        <x:v>https://pixabay.com/videos/search/durian%20fruit/</x:v>
      </x:c>
    </x:row>
    <x:row r="16" ht="58" customHeight="1">
      <x:c r="A16" s="23" t="n">
        <x:v>6</x:v>
      </x:c>
      <x:c r="B16" s="20" t="str">
        <x:v>Chapter 1</x:v>
      </x:c>
      <x:c r="C16" s="23" t="str">
        <x:v>1:14</x:v>
      </x:c>
      <x:c r="D16" s="23" t="str">
        <x:v>A</x:v>
      </x:c>
      <x:c r="E16" s="23" t="str">
        <x:v>durian-closeup-spikes</x:v>
      </x:c>
      <x:c r="F16" s="23" t="str">
        <x:v>READY</x:v>
      </x:c>
      <x:c r="G16" s="23" t="str">
        <x:v>Exact</x:v>
      </x:c>
      <x:c r="H16" s="22" t="str">
        <x:v>Extreme close-up of the spiky husk</x:v>
      </x:c>
      <x:c r="I16" s="22" t="str">
        <x:v>Close-up of durian fruits</x:v>
      </x:c>
      <x:c r="J16" s="22" t="str">
        <x:v>Pexels</x:v>
      </x:c>
      <x:c r="K16" s="22" t="str">
        <x:v>Photo</x:v>
      </x:c>
      <x:c r="L16" s="24" t="str">
        <x:v>https://www.pexels.com/photo/close-up-shot-of-durian-fruits-11493641/</x:v>
      </x:c>
      <x:c r="M16" s="24" t="str">
        <x:v>https://www.pexels.com/photo/close-up-shot-of-durian-fruits-11493641/</x:v>
      </x:c>
      <x:c r="N16" s="22" t="str">
        <x:v>Pexels License</x:v>
      </x:c>
      <x:c r="O16" s="22" t="str">
        <x:v>No attribution required</x:v>
      </x:c>
      <x:c r="P16" s="22" t="str">
        <x:v>High-resolution still works well with a slow push-in and graphic annotations.</x:v>
      </x:c>
      <x:c r="Q16" s="24" t="str">
        <x:v>https://www.pexels.com/photo/stack-of-durian-fruits-12572527/</x:v>
      </x:c>
    </x:row>
    <x:row r="17" ht="58" customHeight="1">
      <x:c r="A17" s="23" t="n">
        <x:v>7</x:v>
      </x:c>
      <x:c r="B17" s="20" t="str">
        <x:v>Chapter 1</x:v>
      </x:c>
      <x:c r="C17" s="23" t="str">
        <x:v>1:45</x:v>
      </x:c>
      <x:c r="D17" s="23" t="str">
        <x:v>A</x:v>
      </x:c>
      <x:c r="E17" s="23" t="str">
        <x:v>phone-scroll</x:v>
      </x:c>
      <x:c r="F17" s="23" t="str">
        <x:v>READY</x:v>
      </x:c>
      <x:c r="G17" s="23" t="str">
        <x:v>Exact</x:v>
      </x:c>
      <x:c r="H17" s="22" t="str">
        <x:v>Thumb scrolling short vertical videos on a phone</x:v>
      </x:c>
      <x:c r="I17" s="22" t="str">
        <x:v>Scrolling through social media on a smartphone</x:v>
      </x:c>
      <x:c r="J17" s="22" t="str">
        <x:v>Pexels</x:v>
      </x:c>
      <x:c r="K17" s="22" t="str">
        <x:v>Video</x:v>
      </x:c>
      <x:c r="L17" s="24" t="str">
        <x:v>https://www.pexels.com/video/scrolling-through-social-media-on-smartphone-38410501/</x:v>
      </x:c>
      <x:c r="M17" s="24" t="str">
        <x:v>https://www.pexels.com/video/scrolling-through-social-media-on-smartphone-38410501/</x:v>
      </x:c>
      <x:c r="N17" s="22" t="str">
        <x:v>Pexels License</x:v>
      </x:c>
      <x:c r="O17" s="22" t="str">
        <x:v>No attribution required</x:v>
      </x:c>
      <x:c r="P17" s="22" t="str">
        <x:v>Inspect every frame for readable app logos, usernames and copyrighted posts. Crop, replace the screen or blur them.</x:v>
      </x:c>
      <x:c r="Q17" s="24" t="str">
        <x:v>https://www.pexels.com/video/a-person-scrolling-through-a-mobile-phone-6271585/</x:v>
      </x:c>
    </x:row>
    <x:row r="18" ht="58" customHeight="1">
      <x:c r="A18" s="23" t="n">
        <x:v>8</x:v>
      </x:c>
      <x:c r="B18" s="20" t="str">
        <x:v>Chapter 1</x:v>
      </x:c>
      <x:c r="C18" s="23" t="str">
        <x:v>2:00</x:v>
      </x:c>
      <x:c r="D18" s="23" t="str">
        <x:v>B</x:v>
      </x:c>
      <x:c r="E18" s="23" t="str">
        <x:v>durian-cut-open-2</x:v>
      </x:c>
      <x:c r="F18" s="23" t="str">
        <x:v>READY</x:v>
      </x:c>
      <x:c r="G18" s="23" t="str">
        <x:v>Exact</x:v>
      </x:c>
      <x:c r="H18" s="22" t="str">
        <x:v>Someone eating durian or pods on a plate</x:v>
      </x:c>
      <x:c r="I18" s="22" t="str">
        <x:v>Two people sharing durian in Thailand</x:v>
      </x:c>
      <x:c r="J18" s="22" t="str">
        <x:v>Pexels</x:v>
      </x:c>
      <x:c r="K18" s="22" t="str">
        <x:v>Photo</x:v>
      </x:c>
      <x:c r="L18" s="24" t="str">
        <x:v>https://www.pexels.com/photo/close-up-shot-of-two-people-eating-durian-12797665/</x:v>
      </x:c>
      <x:c r="M18" s="24" t="str">
        <x:v>https://www.pexels.com/photo/close-up-shot-of-two-people-eating-durian-12797665/</x:v>
      </x:c>
      <x:c r="N18" s="22" t="str">
        <x:v>Pexels License</x:v>
      </x:c>
      <x:c r="O18" s="22" t="str">
        <x:v>No attribution required</x:v>
      </x:c>
      <x:c r="P18" s="22" t="str">
        <x:v>Exact action and crop. Use as a brief still or Ken Burns move; avoid implying the people endorse the film.</x:v>
      </x:c>
      <x:c r="Q18" s="24" t="str">
        <x:v>https://www.pexels.com/photo/durian-fruit-on-a-plate-12397275/</x:v>
      </x:c>
    </x:row>
    <x:row r="19" ht="58" customHeight="1">
      <x:c r="A19" s="23" t="n">
        <x:v>9</x:v>
      </x:c>
      <x:c r="B19" s="20" t="str">
        <x:v>Chapter 2</x:v>
      </x:c>
      <x:c r="C19" s="23" t="str">
        <x:v>2:36</x:v>
      </x:c>
      <x:c r="D19" s="23" t="str">
        <x:v>B</x:v>
      </x:c>
      <x:c r="E19" s="23" t="str">
        <x:v>thailand-durian-farm</x:v>
      </x:c>
      <x:c r="F19" s="23" t="str">
        <x:v>READY</x:v>
      </x:c>
      <x:c r="G19" s="23" t="str">
        <x:v>Exact</x:v>
      </x:c>
      <x:c r="H19" s="22" t="str">
        <x:v>Thai durian orchard or Thai durian market</x:v>
      </x:c>
      <x:c r="I19" s="22" t="str">
        <x:v>Bangkok fruit stall selling durian and mangosteen</x:v>
      </x:c>
      <x:c r="J19" s="22" t="str">
        <x:v>Wikimedia Commons</x:v>
      </x:c>
      <x:c r="K19" s="22" t="str">
        <x:v>Photo</x:v>
      </x:c>
      <x:c r="L19" s="24" t="str">
        <x:v>https://commons.wikimedia.org/wiki/File:Bangkok_fruit_stall.jpg</x:v>
      </x:c>
      <x:c r="M19" s="24" t="str">
        <x:v>https://commons.wikimedia.org/wiki/Special:Redirect/file/Bangkok%20fruit%20stall.jpg</x:v>
      </x:c>
      <x:c r="N19" s="22" t="str">
        <x:v>CC0 1.0</x:v>
      </x:c>
      <x:c r="O19" s="22" t="str">
        <x:v>No attribution required; source credit still recommended</x:v>
      </x:c>
      <x:c r="P19" s="22" t="str">
        <x:v>Exact Thailand market context and public-domain dedication. Use a slow crop across the durian and mangosteen.</x:v>
      </x:c>
      <x:c r="Q19" s="24" t="str">
        <x:v>https://www.pexels.com/photo/durians-on-a-market-stall-14359707/</x:v>
      </x:c>
    </x:row>
    <x:row r="20" ht="58" customHeight="1">
      <x:c r="A20" s="23" t="n">
        <x:v>10</x:v>
      </x:c>
      <x:c r="B20" s="20" t="str">
        <x:v>Chapter 2</x:v>
      </x:c>
      <x:c r="C20" s="23" t="str">
        <x:v>2:53</x:v>
      </x:c>
      <x:c r="D20" s="23" t="str">
        <x:v>A</x:v>
      </x:c>
      <x:c r="E20" s="23" t="str">
        <x:v>durian-harvest</x:v>
      </x:c>
      <x:c r="F20" s="23" t="str">
        <x:v>SOURCE / SHOOT</x:v>
      </x:c>
      <x:c r="G20" s="23" t="str">
        <x:v>Placeholder</x:v>
      </x:c>
      <x:c r="H20" s="22" t="str">
        <x:v>Farmers harvesting durians with baskets, ropes or loading</x:v>
      </x:c>
      <x:c r="I20" s="22" t="str">
        <x:v>Man picking durian fruit from a tree</x:v>
      </x:c>
      <x:c r="J20" s="22" t="str">
        <x:v>Pexels</x:v>
      </x:c>
      <x:c r="K20" s="22" t="str">
        <x:v>Photo</x:v>
      </x:c>
      <x:c r="L20" s="24" t="str">
        <x:v>https://www.pexels.com/photo/man-picking-durian-fruit-from-tree-4335597/</x:v>
      </x:c>
      <x:c r="M20" s="24" t="str">
        <x:v>https://www.pexels.com/photo/man-picking-durian-fruit-from-tree-4335597/</x:v>
      </x:c>
      <x:c r="N20" s="22" t="str">
        <x:v>Pexels License</x:v>
      </x:c>
      <x:c r="O20" s="22" t="str">
        <x:v>No attribution required</x:v>
      </x:c>
      <x:c r="P20" s="22" t="str">
        <x:v>Exact action but only a still. For the gold-rush sequence, license creator footage or film an orchard; do not substitute unrelated fruit harvesting.</x:v>
      </x:c>
      <x:c r="Q20" s="24" t="str">
        <x:v>https://www.pexels.com/search/videos/durian%20harvest/</x:v>
      </x:c>
    </x:row>
    <x:row r="21" ht="58" customHeight="1">
      <x:c r="A21" s="23" t="n">
        <x:v>11</x:v>
      </x:c>
      <x:c r="B21" s="20" t="str">
        <x:v>Chapter 2</x:v>
      </x:c>
      <x:c r="C21" s="23" t="str">
        <x:v>3:00</x:v>
      </x:c>
      <x:c r="D21" s="23" t="str">
        <x:v>A</x:v>
      </x:c>
      <x:c r="E21" s="23" t="str">
        <x:v>vietnam-orchard-aerial</x:v>
      </x:c>
      <x:c r="F21" s="23" t="str">
        <x:v>ILLUSTRATIVE</x:v>
      </x:c>
      <x:c r="G21" s="23" t="str">
        <x:v>Close</x:v>
      </x:c>
      <x:c r="H21" s="22" t="str">
        <x:v>Drone shot over orchard rows in Vietnam</x:v>
      </x:c>
      <x:c r="I21" s="22" t="str">
        <x:v>Aerial view of lush Vietnamese landscapes</x:v>
      </x:c>
      <x:c r="J21" s="22" t="str">
        <x:v>Pexels</x:v>
      </x:c>
      <x:c r="K21" s="22" t="str">
        <x:v>Video</x:v>
      </x:c>
      <x:c r="L21" s="24" t="str">
        <x:v>https://www.pexels.com/video/aerial-view-of-lush-vietnamese-landscapes-28986126/</x:v>
      </x:c>
      <x:c r="M21" s="24" t="str">
        <x:v>https://www.pexels.com/video/aerial-view-of-lush-vietnamese-landscapes-28986126/</x:v>
      </x:c>
      <x:c r="N21" s="22" t="str">
        <x:v>Pexels License</x:v>
      </x:c>
      <x:c r="O21" s="22" t="str">
        <x:v>No attribution required</x:v>
      </x:c>
      <x:c r="P21" s="22" t="str">
        <x:v>Vietnam is verified, but the visible crop is not verified as durian. Use under a map/data beat rather than as proof of durian acreage.</x:v>
      </x:c>
      <x:c r="Q21" s="24" t="str">
        <x:v>https://www.pexels.com/video/drone-footage-of-a-coffee-plantation-12493599/</x:v>
      </x:c>
    </x:row>
    <x:row r="22" ht="58" customHeight="1">
      <x:c r="A22" s="23" t="n">
        <x:v>12</x:v>
      </x:c>
      <x:c r="B22" s="20" t="str">
        <x:v>Chapter 2</x:v>
      </x:c>
      <x:c r="C22" s="23" t="str">
        <x:v>3:14</x:v>
      </x:c>
      <x:c r="D22" s="23" t="str">
        <x:v>B</x:v>
      </x:c>
      <x:c r="E22" s="23" t="str">
        <x:v>rubber-plantation</x:v>
      </x:c>
      <x:c r="F22" s="23" t="str">
        <x:v>READY</x:v>
      </x:c>
      <x:c r="G22" s="23" t="str">
        <x:v>Exact</x:v>
      </x:c>
      <x:c r="H22" s="22" t="str">
        <x:v>Rubber trees in rows or latex tapping</x:v>
      </x:c>
      <x:c r="I22" s="22" t="str">
        <x:v>Rubber plantation with visible tapping lines</x:v>
      </x:c>
      <x:c r="J22" s="22" t="str">
        <x:v>Pexels</x:v>
      </x:c>
      <x:c r="K22" s="22" t="str">
        <x:v>Video</x:v>
      </x:c>
      <x:c r="L22" s="24" t="str">
        <x:v>https://www.pexels.com/video/rubber-tree-plantation-with-tapping-lines-35884292/</x:v>
      </x:c>
      <x:c r="M22" s="24" t="str">
        <x:v>https://www.pexels.com/video/rubber-tree-plantation-with-tapping-lines-35884292/</x:v>
      </x:c>
      <x:c r="N22" s="22" t="str">
        <x:v>Pexels License</x:v>
      </x:c>
      <x:c r="O22" s="22" t="str">
        <x:v>No attribution required</x:v>
      </x:c>
      <x:c r="P22" s="22" t="str">
        <x:v>Excellent Vietnam-shot match from a Vietnamese contributor. Use a wide row shot plus a close detail if available.</x:v>
      </x:c>
      <x:c r="Q22" s="24" t="str">
        <x:v>https://www.pexels.com/video/rubber-tree-plantation-scene-with-tapping-process-35868986/</x:v>
      </x:c>
    </x:row>
    <x:row r="23" ht="58" customHeight="1">
      <x:c r="A23" s="23" t="n">
        <x:v>13</x:v>
      </x:c>
      <x:c r="B23" s="20" t="str">
        <x:v>Chapter 2</x:v>
      </x:c>
      <x:c r="C23" s="23" t="str">
        <x:v>3:25</x:v>
      </x:c>
      <x:c r="D23" s="23" t="str">
        <x:v>B</x:v>
      </x:c>
      <x:c r="E23" s="23" t="str">
        <x:v>mangosteen</x:v>
      </x:c>
      <x:c r="F23" s="23" t="str">
        <x:v>READY</x:v>
      </x:c>
      <x:c r="G23" s="23" t="str">
        <x:v>Exact</x:v>
      </x:c>
      <x:c r="H23" s="22" t="str">
        <x:v>Opened mangosteen: purple rind and white segments</x:v>
      </x:c>
      <x:c r="I23" s="22" t="str">
        <x:v>Close-up of opened fresh mangosteen</x:v>
      </x:c>
      <x:c r="J23" s="22" t="str">
        <x:v>Pexels</x:v>
      </x:c>
      <x:c r="K23" s="22" t="str">
        <x:v>Photo</x:v>
      </x:c>
      <x:c r="L23" s="24" t="str">
        <x:v>https://www.pexels.com/photo/close-up-of-fresh-mangosteen-fruit-34992649/</x:v>
      </x:c>
      <x:c r="M23" s="24" t="str">
        <x:v>https://www.pexels.com/photo/close-up-of-fresh-mangosteen-fruit-34992649/</x:v>
      </x:c>
      <x:c r="N23" s="22" t="str">
        <x:v>Pexels License</x:v>
      </x:c>
      <x:c r="O23" s="22" t="str">
        <x:v>No attribution required</x:v>
      </x:c>
      <x:c r="P23" s="22" t="str">
        <x:v>Clean exact insert; animate with a restrained 3–5% push-in.</x:v>
      </x:c>
      <x:c r="Q23" s="24" t="str">
        <x:v>https://www.pexels.com/search/videos/mangosteen/</x:v>
      </x:c>
    </x:row>
    <x:row r="24" ht="58" customHeight="1">
      <x:c r="A24" s="23" t="n">
        <x:v>14</x:v>
      </x:c>
      <x:c r="B24" s="20" t="str">
        <x:v>Chapter 2</x:v>
      </x:c>
      <x:c r="C24" s="23" t="str">
        <x:v>3:44</x:v>
      </x:c>
      <x:c r="D24" s="23" t="str">
        <x:v>B</x:v>
      </x:c>
      <x:c r="E24" s="23" t="str">
        <x:v>storm-clouds-farm</x:v>
      </x:c>
      <x:c r="F24" s="23" t="str">
        <x:v>READY</x:v>
      </x:c>
      <x:c r="G24" s="23" t="str">
        <x:v>Exact</x:v>
      </x:c>
      <x:c r="H24" s="22" t="str">
        <x:v>Dark clouds rolling over farmland</x:v>
      </x:c>
      <x:c r="I24" s="22" t="str">
        <x:v>Storm clouds over countryside time-lapse</x:v>
      </x:c>
      <x:c r="J24" s="22" t="str">
        <x:v>Pexels</x:v>
      </x:c>
      <x:c r="K24" s="22" t="str">
        <x:v>Video</x:v>
      </x:c>
      <x:c r="L24" s="24" t="str">
        <x:v>https://www.pexels.com/video/time-lapse-of-storm-clouds-in-the-countryside-16119947/</x:v>
      </x:c>
      <x:c r="M24" s="24" t="str">
        <x:v>https://www.pexels.com/video/time-lapse-of-storm-clouds-in-the-countryside-16119947/</x:v>
      </x:c>
      <x:c r="N24" s="22" t="str">
        <x:v>Pexels License</x:v>
      </x:c>
      <x:c r="O24" s="22" t="str">
        <x:v>No attribution required</x:v>
      </x:c>
      <x:c r="P24" s="22" t="str">
        <x:v>Use as a short tonal transition; it is generic countryside, not Vietnam-specific.</x:v>
      </x:c>
      <x:c r="Q24" s="24" t="str">
        <x:v>https://www.pexels.com/video/timelapse-of-dark-storm-clouds-over-green-field-30696907/</x:v>
      </x:c>
    </x:row>
    <x:row r="25" ht="58" customHeight="1">
      <x:c r="A25" s="23" t="n">
        <x:v>15</x:v>
      </x:c>
      <x:c r="B25" s="20" t="str">
        <x:v>Chapter 2</x:v>
      </x:c>
      <x:c r="C25" s="23" t="str">
        <x:v>3:48</x:v>
      </x:c>
      <x:c r="D25" s="23" t="str">
        <x:v>A</x:v>
      </x:c>
      <x:c r="E25" s="23" t="str">
        <x:v>coffee-farmer-hands</x:v>
      </x:c>
      <x:c r="F25" s="23" t="str">
        <x:v>READY</x:v>
      </x:c>
      <x:c r="G25" s="23" t="str">
        <x:v>Exact</x:v>
      </x:c>
      <x:c r="H25" s="22" t="str">
        <x:v>Farmer’s hands sorting or drying coffee beans</x:v>
      </x:c>
      <x:c r="I25" s="22" t="str">
        <x:v>Workers drying coffee beans in Vietnam</x:v>
      </x:c>
      <x:c r="J25" s="22" t="str">
        <x:v>Pexels</x:v>
      </x:c>
      <x:c r="K25" s="22" t="str">
        <x:v>Video</x:v>
      </x:c>
      <x:c r="L25" s="24" t="str">
        <x:v>https://www.pexels.com/video/group-of-workers-drying-coffee-beans-11038415/</x:v>
      </x:c>
      <x:c r="M25" s="24" t="str">
        <x:v>https://www.pexels.com/video/group-of-workers-drying-coffee-beans-11038415/</x:v>
      </x:c>
      <x:c r="N25" s="22" t="str">
        <x:v>Pexels License</x:v>
      </x:c>
      <x:c r="O25" s="22" t="str">
        <x:v>No attribution required</x:v>
      </x:c>
      <x:c r="P25" s="22" t="str">
        <x:v>Strong documentary detail and explicitly tagged Vietnam. Favor close hand/action moments over faces.</x:v>
      </x:c>
      <x:c r="Q25" s="24" t="str">
        <x:v>https://www.pexels.com/video/hand-examining-unroasted-coffee-beans-outdoors-35135425/</x:v>
      </x:c>
    </x:row>
    <x:row r="26" ht="58" customHeight="1">
      <x:c r="A26" s="23" t="n">
        <x:v>16</x:v>
      </x:c>
      <x:c r="B26" s="20" t="str">
        <x:v>Chapter 2</x:v>
      </x:c>
      <x:c r="C26" s="23" t="str">
        <x:v>4:02</x:v>
      </x:c>
      <x:c r="D26" s="23" t="str">
        <x:v>B</x:v>
      </x:c>
      <x:c r="E26" s="23" t="str">
        <x:v>durian-orchard-dusk</x:v>
      </x:c>
      <x:c r="F26" s="23" t="str">
        <x:v>ILLUSTRATIVE</x:v>
      </x:c>
      <x:c r="G26" s="23" t="str">
        <x:v>Close</x:v>
      </x:c>
      <x:c r="H26" s="22" t="str">
        <x:v>Orchard at dusk in golden light</x:v>
      </x:c>
      <x:c r="I26" s="22" t="str">
        <x:v>Orange orchard at sunset</x:v>
      </x:c>
      <x:c r="J26" s="22" t="str">
        <x:v>Pexels</x:v>
      </x:c>
      <x:c r="K26" s="22" t="str">
        <x:v>Video</x:v>
      </x:c>
      <x:c r="L26" s="24" t="str">
        <x:v>https://www.pexels.com/video/exploring-a-vibrant-orange-orchard-at-sunset-30092119/</x:v>
      </x:c>
      <x:c r="M26" s="24" t="str">
        <x:v>https://www.pexels.com/video/exploring-a-vibrant-orange-orchard-at-sunset-30092119/</x:v>
      </x:c>
      <x:c r="N26" s="22" t="str">
        <x:v>Pexels License</x:v>
      </x:c>
      <x:c r="O26" s="22" t="str">
        <x:v>No attribution required</x:v>
      </x:c>
      <x:c r="P26" s="22" t="str">
        <x:v>Beautiful orchard light, but it is citrus rather than durian. Keep fruit out of close view or source a real durian orchard dusk shot.</x:v>
      </x:c>
      <x:c r="Q26" s="24" t="str">
        <x:v>https://www.pexels.com/video/time-lapse-of-moving-clouds-over-a-farm-field-at-dusk-13402605/</x:v>
      </x:c>
    </x:row>
    <x:row r="27" ht="58" customHeight="1">
      <x:c r="A27" s="23" t="n">
        <x:v>17</x:v>
      </x:c>
      <x:c r="B27" s="20" t="str">
        <x:v>Chapter 3</x:v>
      </x:c>
      <x:c r="C27" s="23" t="str">
        <x:v>4:19</x:v>
      </x:c>
      <x:c r="D27" s="23" t="str">
        <x:v>A</x:v>
      </x:c>
      <x:c r="E27" s="23" t="str">
        <x:v>durian-packing</x:v>
      </x:c>
      <x:c r="F27" s="23" t="str">
        <x:v>ILLUSTRATIVE</x:v>
      </x:c>
      <x:c r="G27" s="23" t="str">
        <x:v>Close</x:v>
      </x:c>
      <x:c r="H27" s="22" t="str">
        <x:v>Packing house: durians sorted, weighed and boxed</x:v>
      </x:c>
      <x:c r="I27" s="22" t="str">
        <x:v>Fruit packaging at a modern facility</x:v>
      </x:c>
      <x:c r="J27" s="22" t="str">
        <x:v>Pexels</x:v>
      </x:c>
      <x:c r="K27" s="22" t="str">
        <x:v>Video</x:v>
      </x:c>
      <x:c r="L27" s="24" t="str">
        <x:v>https://www.pexels.com/video/efficient-fruit-packaging-at-a-modern-facility-32610951/</x:v>
      </x:c>
      <x:c r="M27" s="24" t="str">
        <x:v>https://www.pexels.com/video/efficient-fruit-packaging-at-a-modern-facility-32610951/</x:v>
      </x:c>
      <x:c r="N27" s="22" t="str">
        <x:v>Pexels License</x:v>
      </x:c>
      <x:c r="O27" s="22" t="str">
        <x:v>No attribution required</x:v>
      </x:c>
      <x:c r="P27" s="22" t="str">
        <x:v>Shows real fruit packing but not durians. Use only for process rhythm, never on a line that identifies the fruit; exact durian packing should be licensed or filmed.</x:v>
      </x:c>
      <x:c r="Q27" s="24" t="str">
        <x:v>https://www.pexels.com/video/a-factory-worker-putting-tangerines-in-a-plastic-crate-10576686/</x:v>
      </x:c>
    </x:row>
    <x:row r="28" ht="58" customHeight="1">
      <x:c r="A28" s="23" t="n">
        <x:v>18</x:v>
      </x:c>
      <x:c r="B28" s="20" t="str">
        <x:v>Chapter 3</x:v>
      </x:c>
      <x:c r="C28" s="23" t="str">
        <x:v>4:29</x:v>
      </x:c>
      <x:c r="D28" s="23" t="str">
        <x:v>B</x:v>
      </x:c>
      <x:c r="E28" s="23" t="str">
        <x:v>highway-trucks</x:v>
      </x:c>
      <x:c r="F28" s="23" t="str">
        <x:v>READY</x:v>
      </x:c>
      <x:c r="G28" s="23" t="str">
        <x:v>Exact</x:v>
      </x:c>
      <x:c r="H28" s="22" t="str">
        <x:v>Trucks on a highway, aerial or time-lapse</x:v>
      </x:c>
      <x:c r="I28" s="22" t="str">
        <x:v>Aerial footage of a truck on the road</x:v>
      </x:c>
      <x:c r="J28" s="22" t="str">
        <x:v>Pexels</x:v>
      </x:c>
      <x:c r="K28" s="22" t="str">
        <x:v>Video</x:v>
      </x:c>
      <x:c r="L28" s="24" t="str">
        <x:v>https://www.pexels.com/video/aerial-footage-of-truck-on-the-road-9339061/</x:v>
      </x:c>
      <x:c r="M28" s="24" t="str">
        <x:v>https://www.pexels.com/video/aerial-footage-of-truck-on-the-road-9339061/</x:v>
      </x:c>
      <x:c r="N28" s="22" t="str">
        <x:v>Pexels License</x:v>
      </x:c>
      <x:c r="O28" s="22" t="str">
        <x:v>No attribution required</x:v>
      </x:c>
      <x:c r="P28" s="22" t="str">
        <x:v>Clean logistics transition. Avoid showing distinctive geography that conflicts with the route map.</x:v>
      </x:c>
      <x:c r="Q28" s="24" t="str">
        <x:v>https://www.pexels.com/video/a-transport-truck-on-the-highway-at-night-5266051/</x:v>
      </x:c>
    </x:row>
    <x:row r="29" ht="58" customHeight="1">
      <x:c r="A29" s="23" t="n">
        <x:v>19</x:v>
      </x:c>
      <x:c r="B29" s="20" t="str">
        <x:v>Chapter 3</x:v>
      </x:c>
      <x:c r="C29" s="23" t="str">
        <x:v>4:33</x:v>
      </x:c>
      <x:c r="D29" s="23" t="str">
        <x:v>A</x:v>
      </x:c>
      <x:c r="E29" s="23" t="str">
        <x:v>china-laos-railway</x:v>
      </x:c>
      <x:c r="F29" s="23" t="str">
        <x:v>READY + CREDIT</x:v>
      </x:c>
      <x:c r="G29" s="23" t="str">
        <x:v>Exact</x:v>
      </x:c>
      <x:c r="H29" s="22" t="str">
        <x:v>Archival image of the real China–Laos Railway</x:v>
      </x:c>
      <x:c r="I29" s="22" t="str">
        <x:v>China–Laos train at Vientiane railway station</x:v>
      </x:c>
      <x:c r="J29" s="22" t="str">
        <x:v>Wikimedia Commons</x:v>
      </x:c>
      <x:c r="K29" s="22" t="str">
        <x:v>Photo</x:v>
      </x:c>
      <x:c r="L29" s="24" t="str">
        <x:v>https://commons.wikimedia.org/wiki/File:Laos-China-Railway.jpg</x:v>
      </x:c>
      <x:c r="M29" s="24" t="str">
        <x:v>https://commons.wikimedia.org/wiki/Special:Redirect/file/Laos-China-Railway.jpg</x:v>
      </x:c>
      <x:c r="N29" s="22" t="str">
        <x:v>CC BY-SA 4.0</x:v>
      </x:c>
      <x:c r="O29" s="22" t="str">
        <x:v>Dominik Landwehr, CC BY-SA 4.0, via Wikimedia Commons; state crop/grade if modified</x:v>
      </x:c>
      <x:c r="P29" s="22" t="str">
        <x:v>Verified real railway and high-resolution landscape image. Include the complete credit and retain the same license for an adapted still where required.</x:v>
      </x:c>
      <x:c r="Q29" s="24" t="str">
        <x:v>https://commons.wikimedia.org/wiki/File:China-Laos_train,_going_over_the_Mekong_river_north_of_Luang_Prabang,_Laos.jpg</x:v>
      </x:c>
    </x:row>
    <x:row r="30" ht="58" customHeight="1">
      <x:c r="A30" s="23" t="n">
        <x:v>20</x:v>
      </x:c>
      <x:c r="B30" s="20" t="str">
        <x:v>Chapter 3</x:v>
      </x:c>
      <x:c r="C30" s="23" t="str">
        <x:v>4:40</x:v>
      </x:c>
      <x:c r="D30" s="23" t="str">
        <x:v>B</x:v>
      </x:c>
      <x:c r="E30" s="23" t="str">
        <x:v>border-boten</x:v>
      </x:c>
      <x:c r="F30" s="23" t="str">
        <x:v>READY + CREDIT</x:v>
      </x:c>
      <x:c r="G30" s="23" t="str">
        <x:v>Exact</x:v>
      </x:c>
      <x:c r="H30" s="22" t="str">
        <x:v>Archival image of the Mohan–Boten China–Laos border</x:v>
      </x:c>
      <x:c r="I30" s="22" t="str">
        <x:v>Mohan–Boten border monument</x:v>
      </x:c>
      <x:c r="J30" s="22" t="str">
        <x:v>Wikimedia Commons</x:v>
      </x:c>
      <x:c r="K30" s="22" t="str">
        <x:v>Photo</x:v>
      </x:c>
      <x:c r="L30" s="24" t="str">
        <x:v>https://commons.wikimedia.org/wiki/File:Monument_on_Mohan_-_Boten_border_line.JPG</x:v>
      </x:c>
      <x:c r="M30" s="24" t="str">
        <x:v>https://commons.wikimedia.org/wiki/Special:Redirect/file/Monument%20on%20Mohan%20-%20Boten%20border%20line.JPG</x:v>
      </x:c>
      <x:c r="N30" s="22" t="str">
        <x:v>CC BY-SA 3.0</x:v>
      </x:c>
      <x:c r="O30" s="22" t="str">
        <x:v>Fuwuyuan, CC BY-SA 3.0, via Wikimedia Commons; state crop/grade if modified</x:v>
      </x:c>
      <x:c r="P30" s="22" t="str">
        <x:v>Exact border-location evidence. Treat it as an archival still rather than present-day proof of traffic conditions.</x:v>
      </x:c>
      <x:c r="Q30" s="24" t="str">
        <x:v>https://commons.wikimedia.org/wiki/Category:China-Laos_border</x:v>
      </x:c>
    </x:row>
    <x:row r="31" ht="58" customHeight="1">
      <x:c r="A31" s="23" t="n">
        <x:v>21</x:v>
      </x:c>
      <x:c r="B31" s="20" t="str">
        <x:v>Chapter 3</x:v>
      </x:c>
      <x:c r="C31" s="23" t="str">
        <x:v>4:56</x:v>
      </x:c>
      <x:c r="D31" s="23" t="str">
        <x:v>A</x:v>
      </x:c>
      <x:c r="E31" s="23" t="str">
        <x:v>container-ship</x:v>
      </x:c>
      <x:c r="F31" s="23" t="str">
        <x:v>READY</x:v>
      </x:c>
      <x:c r="G31" s="23" t="str">
        <x:v>Exact</x:v>
      </x:c>
      <x:c r="H31" s="22" t="str">
        <x:v>Container ship or busy port, aerial</x:v>
      </x:c>
      <x:c r="I31" s="22" t="str">
        <x:v>Aerial container ship at port, 4K</x:v>
      </x:c>
      <x:c r="J31" s="22" t="str">
        <x:v>Pexels</x:v>
      </x:c>
      <x:c r="K31" s="22" t="str">
        <x:v>Video</x:v>
      </x:c>
      <x:c r="L31" s="24" t="str">
        <x:v>https://www.pexels.com/video/aerial-view-of-vibrant-container-ship-at-port-30523150/</x:v>
      </x:c>
      <x:c r="M31" s="24" t="str">
        <x:v>https://www.pexels.com/video/aerial-view-of-vibrant-container-ship-at-port-30523150/</x:v>
      </x:c>
      <x:c r="N31" s="22" t="str">
        <x:v>Pexels License</x:v>
      </x:c>
      <x:c r="O31" s="22" t="str">
        <x:v>No attribution required</x:v>
      </x:c>
      <x:c r="P31" s="22" t="str">
        <x:v>4K 16:9 and strong scale. It is generic port footage; pair with route graphics instead of naming a port.</x:v>
      </x:c>
      <x:c r="Q31" s="24" t="str">
        <x:v>https://www.pexels.com/video/aerial-view-of-busy-container-port-operations-32747078/</x:v>
      </x:c>
    </x:row>
    <x:row r="32" ht="58" customHeight="1">
      <x:c r="A32" s="23" t="n">
        <x:v>22</x:v>
      </x:c>
      <x:c r="B32" s="20" t="str">
        <x:v>Chapter 3</x:v>
      </x:c>
      <x:c r="C32" s="23" t="str">
        <x:v>5:13</x:v>
      </x:c>
      <x:c r="D32" s="23" t="str">
        <x:v>A</x:v>
      </x:c>
      <x:c r="E32" s="23" t="str">
        <x:v>kunming-market</x:v>
      </x:c>
      <x:c r="F32" s="23" t="str">
        <x:v>READY + CREDIT</x:v>
      </x:c>
      <x:c r="G32" s="23" t="str">
        <x:v>Exact</x:v>
      </x:c>
      <x:c r="H32" s="22" t="str">
        <x:v>Chinese fruit market or supermarket with durians</x:v>
      </x:c>
      <x:c r="I32" s="22" t="str">
        <x:v>Durian fruit in Yunnan</x:v>
      </x:c>
      <x:c r="J32" s="22" t="str">
        <x:v>Wikimedia Commons</x:v>
      </x:c>
      <x:c r="K32" s="22" t="str">
        <x:v>Photo</x:v>
      </x:c>
      <x:c r="L32" s="24" t="str">
        <x:v>https://commons.wikimedia.org/wiki/File:Durian_Fruit_in_Yunnan.jpg</x:v>
      </x:c>
      <x:c r="M32" s="24" t="str">
        <x:v>https://commons.wikimedia.org/wiki/Special:Redirect/file/Durian%20Fruit%20in%20Yunnan.jpg</x:v>
      </x:c>
      <x:c r="N32" s="22" t="str">
        <x:v>CC BY-SA 2.0</x:v>
      </x:c>
      <x:c r="O32" s="22" t="str">
        <x:v>Rod Waddington, CC BY-SA 2.0, via Wikimedia Commons; state crop/grade if modified</x:v>
      </x:c>
      <x:c r="P32" s="22" t="str">
        <x:v>Best verified regional match. Vertical still; design a crop with price graphics or use a split-screen.</x:v>
      </x:c>
      <x:c r="Q32" s="24" t="str">
        <x:v>https://www.pexels.com/video/vibrant-indoor-market-with-fresh-produce-and-shoppers-29449983/</x:v>
      </x:c>
    </x:row>
    <x:row r="33" ht="58" customHeight="1">
      <x:c r="A33" s="23" t="n">
        <x:v>23</x:v>
      </x:c>
      <x:c r="B33" s="20" t="str">
        <x:v>Chapter 4</x:v>
      </x:c>
      <x:c r="C33" s="23" t="str">
        <x:v>5:37</x:v>
      </x:c>
      <x:c r="D33" s="23" t="str">
        <x:v>B</x:v>
      </x:c>
      <x:c r="E33" s="23" t="str">
        <x:v>turmeric</x:v>
      </x:c>
      <x:c r="F33" s="23" t="str">
        <x:v>READY</x:v>
      </x:c>
      <x:c r="G33" s="23" t="str">
        <x:v>Exact</x:v>
      </x:c>
      <x:c r="H33" s="22" t="str">
        <x:v>Turmeric powder or roots</x:v>
      </x:c>
      <x:c r="I33" s="22" t="str">
        <x:v>Turmeric powder</x:v>
      </x:c>
      <x:c r="J33" s="22" t="str">
        <x:v>Wikimedia Commons</x:v>
      </x:c>
      <x:c r="K33" s="22" t="str">
        <x:v>Photo</x:v>
      </x:c>
      <x:c r="L33" s="24" t="str">
        <x:v>https://commons.wikimedia.org/wiki/File:Turmeric_Powder.jpg</x:v>
      </x:c>
      <x:c r="M33" s="24" t="str">
        <x:v>https://commons.wikimedia.org/wiki/Special:Redirect/file/Turmeric%20Powder.jpg</x:v>
      </x:c>
      <x:c r="N33" s="22" t="str">
        <x:v>CC0 1.0</x:v>
      </x:c>
      <x:c r="O33" s="22" t="str">
        <x:v>No attribution required; source credit optional</x:v>
      </x:c>
      <x:c r="P33" s="22" t="str">
        <x:v>Public-domain-dedicated insert. Keep narration neutral; do not show dyed durian flesh.</x:v>
      </x:c>
      <x:c r="Q33" s="24" t="str">
        <x:v>https://www.pexels.com/search/videos/turmeric/</x:v>
      </x:c>
    </x:row>
    <x:row r="34" ht="58" customHeight="1">
      <x:c r="A34" s="23" t="n">
        <x:v>24</x:v>
      </x:c>
      <x:c r="B34" s="20" t="str">
        <x:v>Chapter 4</x:v>
      </x:c>
      <x:c r="C34" s="23" t="str">
        <x:v>6:00</x:v>
      </x:c>
      <x:c r="D34" s="23" t="str">
        <x:v>A</x:v>
      </x:c>
      <x:c r="E34" s="23" t="str">
        <x:v>lab-testing</x:v>
      </x:c>
      <x:c r="F34" s="23" t="str">
        <x:v>READY</x:v>
      </x:c>
      <x:c r="G34" s="23" t="str">
        <x:v>Exact</x:v>
      </x:c>
      <x:c r="H34" s="22" t="str">
        <x:v>Lab technician with test tubes or pipette</x:v>
      </x:c>
      <x:c r="I34" s="22" t="str">
        <x:v>Scientist examining test tubes</x:v>
      </x:c>
      <x:c r="J34" s="22" t="str">
        <x:v>Pexels</x:v>
      </x:c>
      <x:c r="K34" s="22" t="str">
        <x:v>Video</x:v>
      </x:c>
      <x:c r="L34" s="24" t="str">
        <x:v>https://www.pexels.com/video/a-scientist-looking-at-test-tubes-in-a-lab-8533503/</x:v>
      </x:c>
      <x:c r="M34" s="24" t="str">
        <x:v>https://www.pexels.com/video/a-scientist-looking-at-test-tubes-in-a-lab-8533503/</x:v>
      </x:c>
      <x:c r="N34" s="22" t="str">
        <x:v>Pexels License</x:v>
      </x:c>
      <x:c r="O34" s="22" t="str">
        <x:v>No attribution required</x:v>
      </x:c>
      <x:c r="P34" s="22" t="str">
        <x:v>Generic laboratory footage. Avoid showing labels or procedures that imply this is the actual cadmium/Auramine O test.</x:v>
      </x:c>
      <x:c r="Q34" s="24" t="str">
        <x:v>https://www.pexels.com/video/scientists-working-in-a-lab-8852423/</x:v>
      </x:c>
    </x:row>
    <x:row r="35" ht="58" customHeight="1">
      <x:c r="A35" s="23" t="n">
        <x:v>25</x:v>
      </x:c>
      <x:c r="B35" s="20" t="str">
        <x:v>Chapter 4</x:v>
      </x:c>
      <x:c r="C35" s="23" t="str">
        <x:v>6:10</x:v>
      </x:c>
      <x:c r="D35" s="23" t="str">
        <x:v>A</x:v>
      </x:c>
      <x:c r="E35" s="23" t="str">
        <x:v>border-trucks</x:v>
      </x:c>
      <x:c r="F35" s="23" t="str">
        <x:v>ILLUSTRATIVE</x:v>
      </x:c>
      <x:c r="G35" s="23" t="str">
        <x:v>Close</x:v>
      </x:c>
      <x:c r="H35" s="22" t="str">
        <x:v>Long queue of trucks at a border or port gate</x:v>
      </x:c>
      <x:c r="I35" s="22" t="str">
        <x:v>Trucks waiting for freight at a port</x:v>
      </x:c>
      <x:c r="J35" s="22" t="str">
        <x:v>Pexels</x:v>
      </x:c>
      <x:c r="K35" s="22" t="str">
        <x:v>Video</x:v>
      </x:c>
      <x:c r="L35" s="24" t="str">
        <x:v>https://www.pexels.com/video/trucks-in-port-waiting-for-freight-13742793/</x:v>
      </x:c>
      <x:c r="M35" s="24" t="str">
        <x:v>https://www.pexels.com/video/trucks-in-port-waiting-for-freight-13742793/</x:v>
      </x:c>
      <x:c r="N35" s="22" t="str">
        <x:v>Pexels License</x:v>
      </x:c>
      <x:c r="O35" s="22" t="str">
        <x:v>No attribution required</x:v>
      </x:c>
      <x:c r="P35" s="22" t="str">
        <x:v>Conveys freight delay but is not a Vietnam–China border queue. Pair with the Friendship Pass archival still and do not identify this port as the border.</x:v>
      </x:c>
      <x:c r="Q35" s="24" t="str">
        <x:v>https://commons.wikimedia.org/wiki/File:H%E1%BB%AFu_Ngh%E1%BB%8B_Quan.JPG</x:v>
      </x:c>
    </x:row>
    <x:row r="36" ht="58" customHeight="1">
      <x:c r="A36" s="23" t="n">
        <x:v>26</x:v>
      </x:c>
      <x:c r="B36" s="20" t="str">
        <x:v>Chapter 4</x:v>
      </x:c>
      <x:c r="C36" s="23" t="str">
        <x:v>6:43 · 7:31</x:v>
      </x:c>
      <x:c r="D36" s="23" t="str">
        <x:v>A</x:v>
      </x:c>
      <x:c r="E36" s="23" t="str">
        <x:v>china-market-durian</x:v>
      </x:c>
      <x:c r="F36" s="23" t="str">
        <x:v>READY</x:v>
      </x:c>
      <x:c r="G36" s="23" t="str">
        <x:v>Exact</x:v>
      </x:c>
      <x:c r="H36" s="22" t="str">
        <x:v>Piles of durians at a market; any country</x:v>
      </x:c>
      <x:c r="I36" s="22" t="str">
        <x:v>Stack of durian fruits at a market</x:v>
      </x:c>
      <x:c r="J36" s="22" t="str">
        <x:v>Pexels</x:v>
      </x:c>
      <x:c r="K36" s="22" t="str">
        <x:v>Photo</x:v>
      </x:c>
      <x:c r="L36" s="24" t="str">
        <x:v>https://www.pexels.com/photo/stack-of-durian-fruits-12572527/</x:v>
      </x:c>
      <x:c r="M36" s="24" t="str">
        <x:v>https://www.pexels.com/photo/stack-of-durian-fruits-12572527/</x:v>
      </x:c>
      <x:c r="N36" s="22" t="str">
        <x:v>Pexels License</x:v>
      </x:c>
      <x:c r="O36" s="22" t="str">
        <x:v>No attribution required</x:v>
      </x:c>
      <x:c r="P36" s="22" t="str">
        <x:v>Geography is intentionally generic in the brief. Reframe twice to avoid repeating the same still.</x:v>
      </x:c>
      <x:c r="Q36" s="24" t="str">
        <x:v>https://www.pexels.com/photo/pile-of-durian-fruits-19270640/</x:v>
      </x:c>
    </x:row>
    <x:row r="37" ht="58" customHeight="1">
      <x:c r="A37" s="23" t="n">
        <x:v>27</x:v>
      </x:c>
      <x:c r="B37" s="20" t="str">
        <x:v>Chapter 5</x:v>
      </x:c>
      <x:c r="C37" s="23" t="str">
        <x:v>6:53</x:v>
      </x:c>
      <x:c r="D37" s="23" t="str">
        <x:v>B</x:v>
      </x:c>
      <x:c r="E37" s="23" t="str">
        <x:v>timelapse-growth</x:v>
      </x:c>
      <x:c r="F37" s="23" t="str">
        <x:v>READY</x:v>
      </x:c>
      <x:c r="G37" s="23" t="str">
        <x:v>Exact</x:v>
      </x:c>
      <x:c r="H37" s="22" t="str">
        <x:v>Time-lapse of plants growing</x:v>
      </x:c>
      <x:c r="I37" s="22" t="str">
        <x:v>Plant growing time-lapse</x:v>
      </x:c>
      <x:c r="J37" s="22" t="str">
        <x:v>Pexels</x:v>
      </x:c>
      <x:c r="K37" s="22" t="str">
        <x:v>Video</x:v>
      </x:c>
      <x:c r="L37" s="24" t="str">
        <x:v>https://www.pexels.com/video/time-lapse-of-growing-plant-6596225/</x:v>
      </x:c>
      <x:c r="M37" s="24" t="str">
        <x:v>https://www.pexels.com/video/time-lapse-of-growing-plant-6596225/</x:v>
      </x:c>
      <x:c r="N37" s="22" t="str">
        <x:v>Pexels License</x:v>
      </x:c>
      <x:c r="O37" s="22" t="str">
        <x:v>No attribution required</x:v>
      </x:c>
      <x:c r="P37" s="22" t="str">
        <x:v>Conceptual growth insert, not a durian biological time-lapse. Keep it short and graphic.</x:v>
      </x:c>
      <x:c r="Q37" s="24" t="str">
        <x:v>https://www.pexels.com/video/time-lapse-of-seedlings-8522207/</x:v>
      </x:c>
    </x:row>
    <x:row r="38" ht="58" customHeight="1">
      <x:c r="A38" s="23" t="n">
        <x:v>28</x:v>
      </x:c>
      <x:c r="B38" s="20" t="str">
        <x:v>Chapter 5</x:v>
      </x:c>
      <x:c r="C38" s="23" t="str">
        <x:v>7:10</x:v>
      </x:c>
      <x:c r="D38" s="23" t="str">
        <x:v>B</x:v>
      </x:c>
      <x:c r="E38" s="23" t="str">
        <x:v>malaysia-durian</x:v>
      </x:c>
      <x:c r="F38" s="23" t="str">
        <x:v>READY + CREDIT</x:v>
      </x:c>
      <x:c r="G38" s="23" t="str">
        <x:v>Exact</x:v>
      </x:c>
      <x:c r="H38" s="22" t="str">
        <x:v>Musang King durians from Malaysia</x:v>
      </x:c>
      <x:c r="I38" s="22" t="str">
        <x:v>Durian Musang King</x:v>
      </x:c>
      <x:c r="J38" s="22" t="str">
        <x:v>Wikimedia Commons</x:v>
      </x:c>
      <x:c r="K38" s="22" t="str">
        <x:v>Photo</x:v>
      </x:c>
      <x:c r="L38" s="24" t="str">
        <x:v>https://commons.wikimedia.org/wiki/File:Durian_Musang_King.jpg</x:v>
      </x:c>
      <x:c r="M38" s="24" t="str">
        <x:v>https://commons.wikimedia.org/wiki/Special:Redirect/file/Durian%20Musang%20King.jpg</x:v>
      </x:c>
      <x:c r="N38" s="22" t="str">
        <x:v>CC BY 4.0</x:v>
      </x:c>
      <x:c r="O38" s="22" t="str">
        <x:v>Rruunnaa, CC BY 4.0, via Wikimedia Commons; state crop/grade if modified</x:v>
      </x:c>
      <x:c r="P38" s="22" t="str">
        <x:v>Exact named cultivar and Malaysia context. Vertical image; use a bold crop on the opened flesh.</x:v>
      </x:c>
      <x:c r="Q38" s="24" t="str">
        <x:v>https://commons.wikimedia.org/wiki/File:D197_-_Durian.jpg</x:v>
      </x:c>
    </x:row>
    <x:row r="39" ht="58" customHeight="1">
      <x:c r="A39" s="23" t="n">
        <x:v>29</x:v>
      </x:c>
      <x:c r="B39" s="20" t="str">
        <x:v>Chapter 5</x:v>
      </x:c>
      <x:c r="C39" s="23" t="str">
        <x:v>7:31</x:v>
      </x:c>
      <x:c r="D39" s="23" t="str">
        <x:v>B</x:v>
      </x:c>
      <x:c r="E39" s="23" t="str">
        <x:v>price-board</x:v>
      </x:c>
      <x:c r="F39" s="23" t="str">
        <x:v>READY</x:v>
      </x:c>
      <x:c r="G39" s="23" t="str">
        <x:v>Exact</x:v>
      </x:c>
      <x:c r="H39" s="22" t="str">
        <x:v>Handwritten price signs at a fruit stall</x:v>
      </x:c>
      <x:c r="I39" s="22" t="str">
        <x:v>Durians displayed with handwritten price tags</x:v>
      </x:c>
      <x:c r="J39" s="22" t="str">
        <x:v>Pexels</x:v>
      </x:c>
      <x:c r="K39" s="22" t="str">
        <x:v>Photo</x:v>
      </x:c>
      <x:c r="L39" s="24" t="str">
        <x:v>https://www.pexels.com/photo/durian-fruits-on-display-12481165/</x:v>
      </x:c>
      <x:c r="M39" s="24" t="str">
        <x:v>https://www.pexels.com/photo/durian-fruits-on-display-12481165/</x:v>
      </x:c>
      <x:c r="N39" s="22" t="str">
        <x:v>Pexels License</x:v>
      </x:c>
      <x:c r="O39" s="22" t="str">
        <x:v>No attribution required</x:v>
      </x:c>
      <x:c r="P39" s="22" t="str">
        <x:v>Near-perfect thematic match. The photo is monochrome; use it intentionally as a price-collapse beat.</x:v>
      </x:c>
      <x:c r="Q39" s="24" t="str">
        <x:v>https://www.pexels.com/video/a-person-putting-price-signage-on-the-rack-8540437/</x:v>
      </x:c>
    </x:row>
    <x:row r="40" ht="58" customHeight="1">
      <x:c r="A40" s="23" t="n">
        <x:v>30</x:v>
      </x:c>
      <x:c r="B40" s="20" t="str">
        <x:v>Chapter 6</x:v>
      </x:c>
      <x:c r="C40" s="23" t="str">
        <x:v>8:08</x:v>
      </x:c>
      <x:c r="D40" s="23" t="str">
        <x:v>A</x:v>
      </x:c>
      <x:c r="E40" s="23" t="str">
        <x:v>hainan-island</x:v>
      </x:c>
      <x:c r="F40" s="23" t="str">
        <x:v>READY + CREDIT</x:v>
      </x:c>
      <x:c r="G40" s="23" t="str">
        <x:v>Exact</x:v>
      </x:c>
      <x:c r="H40" s="22" t="str">
        <x:v>Archival aerial or coastal view of Hainan</x:v>
      </x:c>
      <x:c r="I40" s="22" t="str">
        <x:v>Haitang Bay panorama, Sanya, Hainan</x:v>
      </x:c>
      <x:c r="J40" s="22" t="str">
        <x:v>Wikimedia Commons</x:v>
      </x:c>
      <x:c r="K40" s="22" t="str">
        <x:v>Photo</x:v>
      </x:c>
      <x:c r="L40" s="24" t="str">
        <x:v>https://commons.wikimedia.org/wiki/File:Haitang_Bay_in_Sanya.jpg</x:v>
      </x:c>
      <x:c r="M40" s="24" t="str">
        <x:v>https://commons.wikimedia.org/wiki/Special:Redirect/file/Haitang%20Bay%20in%20Sanya.jpg</x:v>
      </x:c>
      <x:c r="N40" s="22" t="str">
        <x:v>CC BY-SA 4.0</x:v>
      </x:c>
      <x:c r="O40" s="22" t="str">
        <x:v>Charlie fong, CC BY-SA 4.0, via Wikimedia Commons; state crop/grade if modified</x:v>
      </x:c>
      <x:c r="P40" s="22" t="str">
        <x:v>Exact Hainan coast and very wide panorama—ideal after the map zoom.</x:v>
      </x:c>
      <x:c r="Q40" s="24" t="str">
        <x:v>https://commons.wikimedia.org/wiki/File:Sanya,_Hainan_Island_(10098632865).jpg</x:v>
      </x:c>
    </x:row>
    <x:row r="41" ht="58" customHeight="1">
      <x:c r="A41" s="23" t="n">
        <x:v>31</x:v>
      </x:c>
      <x:c r="B41" s="20" t="str">
        <x:v>Chapter 6</x:v>
      </x:c>
      <x:c r="C41" s="23" t="str">
        <x:v>8:13</x:v>
      </x:c>
      <x:c r="D41" s="23" t="str">
        <x:v>B</x:v>
      </x:c>
      <x:c r="E41" s="23" t="str">
        <x:v>hainan-orchard</x:v>
      </x:c>
      <x:c r="F41" s="23" t="str">
        <x:v>ILLUSTRATIVE</x:v>
      </x:c>
      <x:c r="G41" s="23" t="str">
        <x:v>Close</x:v>
      </x:c>
      <x:c r="H41" s="22" t="str">
        <x:v>Young tropical orchard in Hainan, preferably durian</x:v>
      </x:c>
      <x:c r="I41" s="22" t="str">
        <x:v>Farm in Hainan Province</x:v>
      </x:c>
      <x:c r="J41" s="22" t="str">
        <x:v>Wikimedia Commons</x:v>
      </x:c>
      <x:c r="K41" s="22" t="str">
        <x:v>Photo</x:v>
      </x:c>
      <x:c r="L41" s="24" t="str">
        <x:v>https://commons.wikimedia.org/wiki/File:Farm_in_Hainan_01.jpg</x:v>
      </x:c>
      <x:c r="M41" s="24" t="str">
        <x:v>https://commons.wikimedia.org/wiki/Special:Redirect/file/Farm%20in%20Hainan%2001.jpg</x:v>
      </x:c>
      <x:c r="N41" s="22" t="str">
        <x:v>CC0 1.0</x:v>
      </x:c>
      <x:c r="O41" s="22" t="str">
        <x:v>No attribution required; source credit optional</x:v>
      </x:c>
      <x:c r="P41" s="22" t="str">
        <x:v>Exact Hainan agriculture, but the crop is not identified as durian. Do not present it as a durian orchard; overlay the map/data and label as Hainan farmland if shown.</x:v>
      </x:c>
      <x:c r="Q41" s="24" t="str">
        <x:v>https://commons.wikimedia.org/wiki/File:Small_farm_in_Hainan_Province_01.jpg</x:v>
      </x:c>
    </x:row>
    <x:row r="42" ht="58" customHeight="1">
      <x:c r="A42" s="23" t="n">
        <x:v>32</x:v>
      </x:c>
      <x:c r="B42" s="20" t="str">
        <x:v>Close</x:v>
      </x:c>
      <x:c r="C42" s="23" t="str">
        <x:v>8:53</x:v>
      </x:c>
      <x:c r="D42" s="23" t="str">
        <x:v>A</x:v>
      </x:c>
      <x:c r="E42" s="23" t="str">
        <x:v>lan-farm-dusk</x:v>
      </x:c>
      <x:c r="F42" s="23" t="str">
        <x:v>SOURCE / SHOOT</x:v>
      </x:c>
      <x:c r="G42" s="23" t="str">
        <x:v>Placeholder</x:v>
      </x:c>
      <x:c r="H42" s="22" t="str">
        <x:v>Lan’s farm at dusk: trees and coffee bushes</x:v>
      </x:c>
      <x:c r="I42" s="22" t="str">
        <x:v>Sunset over Vietnamese rice fields in Kon Tum</x:v>
      </x:c>
      <x:c r="J42" s="22" t="str">
        <x:v>Pexels</x:v>
      </x:c>
      <x:c r="K42" s="22" t="str">
        <x:v>Video</x:v>
      </x:c>
      <x:c r="L42" s="24" t="str">
        <x:v>https://www.pexels.com/video/stunning-sunset-over-vietnamese-rice-fields-32755955/</x:v>
      </x:c>
      <x:c r="M42" s="24" t="str">
        <x:v>https://www.pexels.com/video/stunning-sunset-over-vietnamese-rice-fields-32755955/</x:v>
      </x:c>
      <x:c r="N42" s="22" t="str">
        <x:v>Pexels License</x:v>
      </x:c>
      <x:c r="O42" s="22" t="str">
        <x:v>No attribution required</x:v>
      </x:c>
      <x:c r="P42" s="22" t="str">
        <x:v>Atmospheric Kon Tum footage only. Do not represent a stock property as Lan’s real farm. Obtain reporting footage, permission, or clearly label a reconstruction.</x:v>
      </x:c>
      <x:c r="Q42" s="24" t="str">
        <x:v>https://www.pexels.com/video/drone-footage-of-a-farm-6167204/</x:v>
      </x:c>
    </x:row>
    <x:row r="43" ht="58" customHeight="1">
      <x:c r="A43" s="23" t="n">
        <x:v>33</x:v>
      </x:c>
      <x:c r="B43" s="20" t="str">
        <x:v>Close</x:v>
      </x:c>
      <x:c r="C43" s="23" t="str">
        <x:v>9:25</x:v>
      </x:c>
      <x:c r="D43" s="23" t="str">
        <x:v>B</x:v>
      </x:c>
      <x:c r="E43" s="23" t="str">
        <x:v>coffee-and-durian</x:v>
      </x:c>
      <x:c r="F43" s="23" t="str">
        <x:v>READY</x:v>
      </x:c>
      <x:c r="G43" s="23" t="str">
        <x:v>Exact</x:v>
      </x:c>
      <x:c r="H43" s="22" t="str">
        <x:v>Coffee bushes in rows</x:v>
      </x:c>
      <x:c r="I43" s="22" t="str">
        <x:v>Drone footage of a coffee plantation</x:v>
      </x:c>
      <x:c r="J43" s="22" t="str">
        <x:v>Pexels</x:v>
      </x:c>
      <x:c r="K43" s="22" t="str">
        <x:v>Video</x:v>
      </x:c>
      <x:c r="L43" s="24" t="str">
        <x:v>https://www.pexels.com/video/drone-footage-of-a-coffee-plantation-12493599/</x:v>
      </x:c>
      <x:c r="M43" s="24" t="str">
        <x:v>https://www.pexels.com/video/drone-footage-of-a-coffee-plantation-12493599/</x:v>
      </x:c>
      <x:c r="N43" s="22" t="str">
        <x:v>Pexels License</x:v>
      </x:c>
      <x:c r="O43" s="22" t="str">
        <x:v>No attribution required</x:v>
      </x:c>
      <x:c r="P43" s="22" t="str">
        <x:v>Strong row geometry. It is not confirmed Vietnam, so avoid location labels.</x:v>
      </x:c>
      <x:c r="Q43" s="24" t="str">
        <x:v>https://www.pexels.com/video/aerial-view-of-a-coffee-plantation-12493598/</x:v>
      </x:c>
    </x:row>
    <x:row r="44" ht="58" customHeight="1">
      <x:c r="A44" s="23" t="n">
        <x:v>34</x:v>
      </x:c>
      <x:c r="B44" s="20" t="str">
        <x:v>Close</x:v>
      </x:c>
      <x:c r="C44" s="23" t="str">
        <x:v>9:36</x:v>
      </x:c>
      <x:c r="D44" s="23" t="str">
        <x:v>B</x:v>
      </x:c>
      <x:c r="E44" s="23" t="str">
        <x:v>socks-factory</x:v>
      </x:c>
      <x:c r="F44" s="23" t="str">
        <x:v>ILLUSTRATIVE</x:v>
      </x:c>
      <x:c r="G44" s="23" t="str">
        <x:v>Close</x:v>
      </x:c>
      <x:c r="H44" s="22" t="str">
        <x:v>Sock or textile knitting machines</x:v>
      </x:c>
      <x:c r="I44" s="22" t="str">
        <x:v>Machines in a textile factory</x:v>
      </x:c>
      <x:c r="J44" s="22" t="str">
        <x:v>Pexels</x:v>
      </x:c>
      <x:c r="K44" s="22" t="str">
        <x:v>Video</x:v>
      </x:c>
      <x:c r="L44" s="24" t="str">
        <x:v>https://www.pexels.com/video/machines-in-textile-factory-10628544/</x:v>
      </x:c>
      <x:c r="M44" s="24" t="str">
        <x:v>https://www.pexels.com/video/machines-in-textile-factory-10628544/</x:v>
      </x:c>
      <x:c r="N44" s="22" t="str">
        <x:v>Pexels License</x:v>
      </x:c>
      <x:c r="O44" s="22" t="str">
        <x:v>No attribution required</x:v>
      </x:c>
      <x:c r="P44" s="22" t="str">
        <x:v>Textile machinery is verified, but socks are not. Use only as a teaser unless the machinery visibly makes socks.</x:v>
      </x:c>
      <x:c r="Q44" s="24" t="str">
        <x:v>https://www.pexels.com/search/videos/knitting%20machine/</x:v>
      </x:c>
    </x:row>
  </x:sheetData>
  <x:conditionalFormatting sqref="F11:F44">
    <x:cfRule type="expression" dxfId="0" priority="1">
      <x:formula>$F11="READY"</x:formula>
    </x:cfRule>
    <x:cfRule type="expression" dxfId="1" priority="2">
      <x:formula>$F11="READY + CREDIT"</x:formula>
    </x:cfRule>
    <x:cfRule type="expression" dxfId="2" priority="3">
      <x:formula>$F11="ILLUSTRATIVE"</x:formula>
    </x:cfRule>
    <x:cfRule type="expression" dxfId="3" priority="4">
      <x:formula>$F11="SOURCE / SHOOT"</x:formula>
    </x:cfRule>
  </x:conditionalFormatting>
  <x:conditionalFormatting sqref="D11:D44">
    <x:cfRule type="expression" dxfId="4" priority="5">
      <x:formula>$D11="A"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b80d02d2664684"/>
  </x:tableParts>
</x:worksheet>
</file>

<file path=xl/worksheets/sheet2.xml><?xml version="1.0" encoding="utf-8"?>
<x:worksheet xmlns:x="http://schemas.openxmlformats.org/spreadsheetml/2006/main">
  <x:sheetPr>
    <x:tabColor rgb="FFC6922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78" hidden="0" customWidth="1"/>
    <x:col min="4" max="4" width="34" hidden="0" customWidth="1"/>
    <x:col min="5" max="5" width="42" hidden="0" customWidth="1"/>
    <x:col min="6" max="6" width="38" hidden="0" customWidth="1"/>
  </x:cols>
  <x:sheetData>
    <x:row r="2">
      <x:c r="A2" s="37" t="str">
        <x:v>Ready-to-paste archival credits</x:v>
      </x:c>
      <x:c r="B2" s="38"/>
      <x:c r="C2" s="38"/>
      <x:c r="D2" s="38"/>
      <x:c r="E2" s="38"/>
      <x:c r="F2" s="38"/>
    </x:row>
    <x:row r="3">
      <x:c r="A3" s="39" t="str">
        <x:v>Place these in the end credits and, for safety, the YouTube description. Keep the exact license version and note any crop, grade or animation.</x:v>
      </x:c>
      <x:c r="B3" s="39"/>
      <x:c r="C3" s="39"/>
      <x:c r="D3" s="39"/>
      <x:c r="E3" s="39"/>
      <x:c r="F3" s="39"/>
    </x:row>
    <x:row r="4">
      <x:c r="A4" s="40"/>
      <x:c r="B4" s="40"/>
      <x:c r="C4" s="40"/>
      <x:c r="D4" s="40"/>
      <x:c r="E4" s="40"/>
      <x:c r="F4" s="40"/>
    </x:row>
    <x:row r="5">
      <x:c r="A5" s="29" t="str">
        <x:v>Shot ID</x:v>
      </x:c>
      <x:c r="B5" s="29" t="str">
        <x:v>Asset</x:v>
      </x:c>
      <x:c r="C5" s="29" t="str">
        <x:v>Credit line</x:v>
      </x:c>
      <x:c r="D5" s="29" t="str">
        <x:v>License link</x:v>
      </x:c>
      <x:c r="E5" s="29" t="str">
        <x:v>Source page</x:v>
      </x:c>
      <x:c r="F5" s="29" t="str">
        <x:v>Production note</x:v>
      </x:c>
    </x:row>
    <x:row r="6" ht="62" customHeight="1">
      <x:c r="A6" s="32" t="str">
        <x:v>china-laos-railway</x:v>
      </x:c>
      <x:c r="B6" s="32" t="str">
        <x:v>Laos-China-Railway.jpg</x:v>
      </x:c>
      <x:c r="C6" s="32" t="str">
        <x:v>China–Laos Railway at Vientiane station — Dominik Landwehr, CC BY-SA 4.0, via Wikimedia Commons. Cropped and color graded.</x:v>
      </x:c>
      <x:c r="D6" s="33" t="str">
        <x:v>https://creativecommons.org/licenses/by-sa/4.0/</x:v>
      </x:c>
      <x:c r="E6" s="33" t="str">
        <x:v>https://commons.wikimedia.org/wiki/File:Laos-China-Railway.jpg</x:v>
      </x:c>
      <x:c r="F6" s="32" t="str">
        <x:v>Change the final sentence if the image is not modified.</x:v>
      </x:c>
    </x:row>
    <x:row r="7" ht="62" customHeight="1">
      <x:c r="A7" s="32" t="str">
        <x:v>border-boten</x:v>
      </x:c>
      <x:c r="B7" s="32" t="str">
        <x:v>Monument on Mohan - Boten border line.JPG</x:v>
      </x:c>
      <x:c r="C7" s="32" t="str">
        <x:v>Mohan–Boten border monument — Fuwuyuan, CC BY-SA 3.0, via Wikimedia Commons. Cropped and color graded.</x:v>
      </x:c>
      <x:c r="D7" s="33" t="str">
        <x:v>https://creativecommons.org/licenses/by-sa/3.0/</x:v>
      </x:c>
      <x:c r="E7" s="33" t="str">
        <x:v>https://commons.wikimedia.org/wiki/File:Monument_on_Mohan_-_Boten_border_line.JPG</x:v>
      </x:c>
      <x:c r="F7" s="32" t="str">
        <x:v>Change the final sentence if the image is not modified.</x:v>
      </x:c>
    </x:row>
    <x:row r="8" ht="62" customHeight="1">
      <x:c r="A8" s="32" t="str">
        <x:v>kunming-market</x:v>
      </x:c>
      <x:c r="B8" s="32" t="str">
        <x:v>Durian Fruit in Yunnan.jpg</x:v>
      </x:c>
      <x:c r="C8" s="32" t="str">
        <x:v>Durian Fruit in Yunnan — Rod Waddington, CC BY-SA 2.0, via Wikimedia Commons. Cropped and color graded.</x:v>
      </x:c>
      <x:c r="D8" s="33" t="str">
        <x:v>https://creativecommons.org/licenses/by-sa/2.0/</x:v>
      </x:c>
      <x:c r="E8" s="33" t="str">
        <x:v>https://commons.wikimedia.org/wiki/File:Durian_Fruit_in_Yunnan.jpg</x:v>
      </x:c>
      <x:c r="F8" s="32" t="str">
        <x:v>Use the credit in end titles and the video description.</x:v>
      </x:c>
    </x:row>
    <x:row r="9" ht="62" customHeight="1">
      <x:c r="A9" s="32" t="str">
        <x:v>malaysia-durian</x:v>
      </x:c>
      <x:c r="B9" s="32" t="str">
        <x:v>Durian Musang King.jpg</x:v>
      </x:c>
      <x:c r="C9" s="32" t="str">
        <x:v>Durian Musang King — Rruunnaa, CC BY 4.0, via Wikimedia Commons. Cropped and color graded.</x:v>
      </x:c>
      <x:c r="D9" s="33" t="str">
        <x:v>https://creativecommons.org/licenses/by/4.0/</x:v>
      </x:c>
      <x:c r="E9" s="33" t="str">
        <x:v>https://commons.wikimedia.org/wiki/File:Durian_Musang_King.jpg</x:v>
      </x:c>
      <x:c r="F9" s="32" t="str">
        <x:v>CC BY requires attribution but not ShareAlike.</x:v>
      </x:c>
    </x:row>
    <x:row r="10" ht="62" customHeight="1">
      <x:c r="A10" s="32" t="str">
        <x:v>hainan-island</x:v>
      </x:c>
      <x:c r="B10" s="32" t="str">
        <x:v>Haitang Bay in Sanya.jpg</x:v>
      </x:c>
      <x:c r="C10" s="32" t="str">
        <x:v>Haitang Bay in Sanya — Charlie fong, CC BY-SA 4.0, via Wikimedia Commons. Cropped and color graded.</x:v>
      </x:c>
      <x:c r="D10" s="33" t="str">
        <x:v>https://creativecommons.org/licenses/by-sa/4.0/</x:v>
      </x:c>
      <x:c r="E10" s="33" t="str">
        <x:v>https://commons.wikimedia.org/wiki/File:Haitang_Bay_in_Sanya.jpg</x:v>
      </x:c>
      <x:c r="F10" s="32" t="str">
        <x:v>Change the final sentence if the image is not modified.</x:v>
      </x:c>
    </x:row>
    <x:row r="11" ht="62" customHeight="1">
      <x:c r="A11" s="32" t="str">
        <x:v>border-trucks (backup)</x:v>
      </x:c>
      <x:c r="B11" s="32" t="str">
        <x:v>Hữu Nghị Quan.JPG</x:v>
      </x:c>
      <x:c r="C11" s="32" t="str">
        <x:v>Hữu Nghị Quan (Friendship Pass) — Liftold at Vietnamese Wikipedia, CC BY-SA 3.0, via Wikimedia Commons. Cropped and color graded.</x:v>
      </x:c>
      <x:c r="D11" s="33" t="str">
        <x:v>https://creativecommons.org/licenses/by-sa/3.0/</x:v>
      </x:c>
      <x:c r="E11" s="33" t="str">
        <x:v>https://commons.wikimedia.org/wiki/File:H%E1%BB%AFu_Ngh%E1%BB%8B_Quan.JPG</x:v>
      </x:c>
      <x:c r="F11" s="32" t="str">
        <x:v>Use only if the backup still appears in the final cut.</x:v>
      </x:c>
    </x:row>
  </x:sheetData>
  <x:pageMargins left="0.7" right="0.7" top="0.75" bottom="0.75" header="0.3" footer="0.3"/>
  <x:tableParts count="1">
    <x:tablePart xmlns:r="http://schemas.openxmlformats.org/officeDocument/2006/relationships" r:id="R51761810a7104d30"/>
  </x:tableParts>
</x:worksheet>
</file>

<file path=xl/worksheets/sheet3.xml><?xml version="1.0" encoding="utf-8"?>
<x:worksheet xmlns:x="http://schemas.openxmlformats.org/spreadsheetml/2006/main">
  <x:sheetPr>
    <x:tabColor rgb="FF6D7786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21" hidden="0" customWidth="1"/>
    <x:col min="4" max="4" width="21" hidden="0" customWidth="1"/>
    <x:col min="5" max="5" width="65" hidden="0" customWidth="1"/>
    <x:col min="6" max="6" width="40" hidden="0" customWidth="1"/>
    <x:col min="7" max="7" width="40" hidden="0" customWidth="1"/>
    <x:col min="8" max="8" width="18" hidden="0" customWidth="1"/>
  </x:cols>
  <x:sheetData>
    <x:row r="2">
      <x:c r="A2" s="37" t="str">
        <x:v>License guide and clearance rules</x:v>
      </x:c>
      <x:c r="B2" s="38"/>
      <x:c r="C2" s="38"/>
      <x:c r="D2" s="38"/>
      <x:c r="E2" s="38"/>
      <x:c r="F2" s="38"/>
      <x:c r="G2" s="38"/>
      <x:c r="H2" s="38"/>
    </x:row>
    <x:row r="3">
      <x:c r="A3" s="39" t="str">
        <x:v>Checked 2026-10-02. “Free stock” is usually copyrighted material offered under a reuse license; only assets marked CC0/public domain are treated here as copyright-free.</x:v>
      </x:c>
      <x:c r="B3" s="39"/>
      <x:c r="C3" s="39"/>
      <x:c r="D3" s="39"/>
      <x:c r="E3" s="39"/>
      <x:c r="F3" s="39"/>
      <x:c r="G3" s="39"/>
      <x:c r="H3" s="39"/>
    </x:row>
    <x:row r="4">
      <x:c r="A4" s="40"/>
      <x:c r="B4" s="40"/>
      <x:c r="C4" s="40"/>
      <x:c r="D4" s="40"/>
      <x:c r="E4" s="40"/>
      <x:c r="F4" s="40"/>
      <x:c r="G4" s="40"/>
      <x:c r="H4" s="40"/>
    </x:row>
    <x:row r="5">
      <x:c r="A5" s="46" t="str">
        <x:v>Rule 1</x:v>
      </x:c>
      <x:c r="B5" s="46" t="str">
        <x:v>Save the asset page, contributor name and license page on the day you download.</x:v>
      </x:c>
      <x:c r="C5" s="46" t="str">
        <x:v>Rule 2</x:v>
      </x:c>
      <x:c r="D5" s="46" t="str">
        <x:v>Do not use a stock person or property as the named farmer Lan without permission or clear reconstruction labeling.</x:v>
      </x:c>
      <x:c r="E5" s="46" t="str">
        <x:v>Rule 3</x:v>
      </x:c>
      <x:c r="F5" s="46" t="str">
        <x:v>For maps, charts and price graphics, build original graphics from cited data rather than downloading another channel’s visuals.</x:v>
      </x:c>
      <x:c r="G5" s="46" t="str">
        <x:v>Rule 4</x:v>
      </x:c>
      <x:c r="H5" s="46" t="str">
        <x:v>If a file page shows unclear, country-specific or disputed public-domain status, do not use it.</x:v>
      </x:c>
    </x:row>
    <x:row r="6">
      <x:c r="A6" s="40" t="str"/>
      <x:c r="B6" s="40" t="str"/>
      <x:c r="C6" s="40" t="str"/>
      <x:c r="D6" s="40" t="str"/>
      <x:c r="E6" s="40" t="str"/>
      <x:c r="F6" s="40" t="str"/>
      <x:c r="G6" s="40" t="str"/>
      <x:c r="H6" s="40" t="str"/>
    </x:row>
    <x:row r="7">
      <x:c r="A7" s="40" t="str"/>
      <x:c r="B7" s="40" t="str"/>
      <x:c r="C7" s="40" t="str"/>
      <x:c r="D7" s="40" t="str"/>
      <x:c r="E7" s="40" t="str"/>
      <x:c r="F7" s="40" t="str"/>
      <x:c r="G7" s="40" t="str"/>
      <x:c r="H7" s="40" t="str"/>
    </x:row>
    <x:row r="8">
      <x:c r="A8" s="40" t="str"/>
      <x:c r="B8" s="40" t="str"/>
      <x:c r="C8" s="40" t="str"/>
      <x:c r="D8" s="40" t="str"/>
      <x:c r="E8" s="40" t="str"/>
      <x:c r="F8" s="40" t="str"/>
      <x:c r="G8" s="40" t="str"/>
      <x:c r="H8" s="40" t="str"/>
    </x:row>
    <x:row r="9">
      <x:c r="A9" s="40"/>
      <x:c r="B9" s="40"/>
      <x:c r="C9" s="40"/>
      <x:c r="D9" s="40"/>
      <x:c r="E9" s="40"/>
      <x:c r="F9" s="40"/>
      <x:c r="G9" s="40"/>
      <x:c r="H9" s="40"/>
    </x:row>
    <x:row r="10">
      <x:c r="A10" s="29" t="str">
        <x:v>Source / license</x:v>
      </x:c>
      <x:c r="B10" s="29" t="str">
        <x:v>Copyright position</x:v>
      </x:c>
      <x:c r="C10" s="29" t="str">
        <x:v>Commercial YouTube</x:v>
      </x:c>
      <x:c r="D10" s="29" t="str">
        <x:v>Attribution</x:v>
      </x:c>
      <x:c r="E10" s="29" t="str">
        <x:v>Main restrictions and risk</x:v>
      </x:c>
      <x:c r="F10" s="29" t="str">
        <x:v>Official terms</x:v>
      </x:c>
      <x:c r="G10" s="29" t="str">
        <x:v>Recommendation</x:v>
      </x:c>
      <x:c r="H10" s="29" t="str">
        <x:v>Rating</x:v>
      </x:c>
    </x:row>
    <x:row r="11" ht="64" customHeight="1">
      <x:c r="A11" s="32" t="str">
        <x:v>Pexels</x:v>
      </x:c>
      <x:c r="B11" s="32" t="str">
        <x:v>Copyrighted; licensed by Pexels</x:v>
      </x:c>
      <x:c r="C11" s="32" t="str">
        <x:v>Generally yes</x:v>
      </x:c>
      <x:c r="D11" s="32" t="str">
        <x:v>Not required</x:v>
      </x:c>
      <x:c r="E11" s="32" t="str">
        <x:v>Do not resell unaltered files, imply endorsement, or place identifiable people in a bad/offensive light. Check logos, artwork and screen content.</x:v>
      </x:c>
      <x:c r="F11" s="33" t="str">
        <x:v>https://www.pexels.com/license/</x:v>
      </x:c>
      <x:c r="G11" s="32" t="str">
        <x:v>Preferred for generic B-roll</x:v>
      </x:c>
      <x:c r="H11" s="32" t="str">
        <x:v>Green</x:v>
      </x:c>
    </x:row>
    <x:row r="12" ht="64" customHeight="1">
      <x:c r="A12" s="32" t="str">
        <x:v>Pixabay</x:v>
      </x:c>
      <x:c r="B12" s="32" t="str">
        <x:v>Copyrighted; licensed under the Pixabay Content License</x:v>
      </x:c>
      <x:c r="C12" s="32" t="str">
        <x:v>Generally yes</x:v>
      </x:c>
      <x:c r="D12" s="32" t="str">
        <x:v>Not required</x:v>
      </x:c>
      <x:c r="E12" s="32" t="str">
        <x:v>No standalone redistribution. Check trademarks, recognizable people, property and third-party rights.</x:v>
      </x:c>
      <x:c r="F12" s="33" t="str">
        <x:v>https://pixabay.com/service/license-summary/</x:v>
      </x:c>
      <x:c r="G12" s="32" t="str">
        <x:v>Preferred for generic B-roll</x:v>
      </x:c>
      <x:c r="H12" s="32" t="str">
        <x:v>Green</x:v>
      </x:c>
    </x:row>
    <x:row r="13" ht="64" customHeight="1">
      <x:c r="A13" s="32" t="str">
        <x:v>Wikimedia Commons</x:v>
      </x:c>
      <x:c r="B13" s="32" t="str">
        <x:v>Varies file by file</x:v>
      </x:c>
      <x:c r="C13" s="32" t="str">
        <x:v>Depends on the individual file</x:v>
      </x:c>
      <x:c r="D13" s="32" t="str">
        <x:v>Often required</x:v>
      </x:c>
      <x:c r="E13" s="32" t="str">
        <x:v>Open the exact file page. Follow attribution, license-link, modification and ShareAlike terms. Commons provides no warranty.</x:v>
      </x:c>
      <x:c r="F13" s="33" t="str">
        <x:v>https://commons.wikimedia.org/wiki/Commons:Reusing_content_outside_Wikimedia</x:v>
      </x:c>
      <x:c r="G13" s="32" t="str">
        <x:v>Use only after file-level verification</x:v>
      </x:c>
      <x:c r="H13" s="32" t="str">
        <x:v>Amber</x:v>
      </x:c>
    </x:row>
    <x:row r="14" ht="64" customHeight="1">
      <x:c r="A14" s="32" t="str">
        <x:v>CC0 1.0</x:v>
      </x:c>
      <x:c r="B14" s="32" t="str">
        <x:v>Rights waived to the extent legally possible</x:v>
      </x:c>
      <x:c r="C14" s="32" t="str">
        <x:v>Yes</x:v>
      </x:c>
      <x:c r="D14" s="32" t="str">
        <x:v>Not required</x:v>
      </x:c>
      <x:c r="E14" s="32" t="str">
        <x:v>Personality, privacy, trademark and other non-copyright rights can still apply.</x:v>
      </x:c>
      <x:c r="F14" s="33" t="str">
        <x:v>https://creativecommons.org/publicdomain/zero/1.0/</x:v>
      </x:c>
      <x:c r="G14" s="32" t="str">
        <x:v>Best archival option when accurate</x:v>
      </x:c>
      <x:c r="H14" s="32" t="str">
        <x:v>Green</x:v>
      </x:c>
    </x:row>
    <x:row r="15" ht="64" customHeight="1">
      <x:c r="A15" s="32" t="str">
        <x:v>CC BY 4.0</x:v>
      </x:c>
      <x:c r="B15" s="32" t="str">
        <x:v>Copyrighted; reuse license granted</x:v>
      </x:c>
      <x:c r="C15" s="32" t="str">
        <x:v>Yes</x:v>
      </x:c>
      <x:c r="D15" s="32" t="str">
        <x:v>Required</x:v>
      </x:c>
      <x:c r="E15" s="32" t="str">
        <x:v>Credit creator, link the license and indicate modifications. Do not imply endorsement.</x:v>
      </x:c>
      <x:c r="F15" s="33" t="str">
        <x:v>https://creativecommons.org/licenses/by/4.0/</x:v>
      </x:c>
      <x:c r="G15" s="32" t="str">
        <x:v>Good when a clean credit is feasible</x:v>
      </x:c>
      <x:c r="H15" s="32" t="str">
        <x:v>Green + credit</x:v>
      </x:c>
    </x:row>
    <x:row r="16" ht="64" customHeight="1">
      <x:c r="A16" s="32" t="str">
        <x:v>CC BY-SA 2.0/3.0/4.0</x:v>
      </x:c>
      <x:c r="B16" s="32" t="str">
        <x:v>Copyrighted; reuse license granted</x:v>
      </x:c>
      <x:c r="C16" s="32" t="str">
        <x:v>Yes</x:v>
      </x:c>
      <x:c r="D16" s="32" t="str">
        <x:v>Required</x:v>
      </x:c>
      <x:c r="E16" s="32" t="str">
        <x:v>Credit creator, link license, indicate modifications and satisfy ShareAlike for adaptations. Keep version-specific terms.</x:v>
      </x:c>
      <x:c r="F16" s="33" t="str">
        <x:v>https://creativecommons.org/share-your-work/cclicenses/</x:v>
      </x:c>
      <x:c r="G16" s="32" t="str">
        <x:v>Use with end-credit and description records</x:v>
      </x:c>
      <x:c r="H16" s="32" t="str">
        <x:v>Amber + credit</x:v>
      </x:c>
    </x:row>
    <x:row r="17" ht="64" customHeight="1">
      <x:c r="A17" s="32" t="str">
        <x:v>Coverr</x:v>
      </x:c>
      <x:c r="B17" s="32" t="str">
        <x:v>Copyrighted; licensed by Coverr</x:v>
      </x:c>
      <x:c r="C17" s="32" t="str">
        <x:v>Generally yes</x:v>
      </x:c>
      <x:c r="D17" s="32" t="str">
        <x:v>Not required</x:v>
      </x:c>
      <x:c r="E17" s="32" t="str">
        <x:v>Model, property and trademark releases are not guaranteed. User is responsible for clearance.</x:v>
      </x:c>
      <x:c r="F17" s="33" t="str">
        <x:v>https://coverr.co/license</x:v>
      </x:c>
      <x:c r="G17" s="32" t="str">
        <x:v>Backup only after release review</x:v>
      </x:c>
      <x:c r="H17" s="32" t="str">
        <x:v>Amber</x:v>
      </x:c>
    </x:row>
    <x:row r="18" ht="64" customHeight="1">
      <x:c r="A18" s="32" t="str">
        <x:v>Voice of America</x:v>
      </x:c>
      <x:c r="B18" s="32" t="str">
        <x:v>VOA-produced exclusive material is public domain in the U.S.</x:v>
      </x:c>
      <x:c r="C18" s="32" t="str">
        <x:v>Often yes for VOA-produced material</x:v>
      </x:c>
      <x:c r="D18" s="32" t="str">
        <x:v>Credit recommended</x:v>
      </x:c>
      <x:c r="E18" s="32" t="str">
        <x:v>AP, Reuters, AFP and other third-party material on VOA pages is not public domain. Confirm the credit line and production source.</x:v>
      </x:c>
      <x:c r="F18" s="33" t="str">
        <x:v>https://www.voanews.com/p/5338.html</x:v>
      </x:c>
      <x:c r="G18" s="32" t="str">
        <x:v>Useful archival source only after item-level check</x:v>
      </x:c>
      <x:c r="H18" s="32" t="str">
        <x:v>Amber</x:v>
      </x:c>
    </x:row>
  </x:sheetData>
  <x:conditionalFormatting sqref="H11:H18">
    <x:cfRule type="expression" dxfId="5" priority="1">
      <x:formula>LEFT($H11,5)="Green"</x:formula>
    </x:cfRule>
    <x:cfRule type="expression" dxfId="6" priority="2">
      <x:formula>LEFT($H11,5)="Amber"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081900dbd9460c"/>
  </x:tableParts>
</x:worksheet>
</file>